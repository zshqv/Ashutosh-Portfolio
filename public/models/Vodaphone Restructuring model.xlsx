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Control_Panel" sheetId="1" state="visible" r:id="rId3"/>
    <sheet name="1_TWCF_13_Week_Liquidity" sheetId="2" state="visible" r:id="rId4"/>
    <sheet name="2_Capital_Structure_Waterfall" sheetId="3" state="visible" r:id="rId5"/>
    <sheet name="3_Restructuring_Projections" sheetId="4" state="visible" r:id="rId6"/>
    <sheet name="4_Liquidation_Waterfall" sheetId="5" state="visible" r:id="rId7"/>
    <sheet name="5_Logic_Map" sheetId="6" state="visible" r:id="rId8"/>
    <sheet name="6_Reconciliations"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Master switch. Every scenario-dependent cell reads column E of the Scenario Parameter Matrix, which is CHOOSE($B$5, Plan A, Plan B, Plan C).</t>
        </r>
      </text>
    </comment>
    <comment ref="B9" authorId="0">
      <text>
        <r>
          <rPr>
            <sz val="10"/>
            <rFont val="Arial"/>
            <family val="2"/>
          </rPr>
          <t xml:space="preserve">Turns on incremental 5G capex, 5G lease growth and 5G ARPU premium.</t>
        </r>
      </text>
    </comment>
    <comment ref="B10" authorId="0">
      <text>
        <r>
          <rPr>
            <sz val="10"/>
            <rFont val="Arial"/>
            <family val="2"/>
          </rPr>
          <t xml:space="preserve">Scales the 5G capex line; 1.0x = management plan (~₹45,000 cr over 3 yrs incl. 4G).</t>
        </r>
      </text>
    </comment>
    <comment ref="B11" authorId="0">
      <text>
        <r>
          <rPr>
            <sz val="10"/>
            <rFont val="Arial"/>
            <family val="2"/>
          </rPr>
          <t xml:space="preserve">High case approximates management's 'triple cash EBITDA in 3 yrs' plan (16.8% revenue CAGR).</t>
        </r>
      </text>
    </comment>
    <comment ref="B16" authorId="0">
      <text>
        <r>
          <rPr>
            <sz val="10"/>
            <rFont val="Arial"/>
            <family val="2"/>
          </rPr>
          <t xml:space="preserve">Incremental ARPU from 5G/FWA mix upgrade.</t>
        </r>
      </text>
    </comment>
    <comment ref="B19" authorId="0">
      <text>
        <r>
          <rPr>
            <sz val="10"/>
            <rFont val="Arial"/>
            <family val="2"/>
          </rPr>
          <t xml:space="preserve">Forces the default-interest step-up irrespective of triggers.</t>
        </r>
      </text>
    </comment>
    <comment ref="B20" authorId="0">
      <text>
        <r>
          <rPr>
            <sz val="10"/>
            <rFont val="Arial"/>
            <family val="2"/>
          </rPr>
          <t xml:space="preserve">Standard Indian bank facility default interest: +200 bps over contract rate.</t>
        </r>
      </text>
    </comment>
    <comment ref="B25" authorId="0">
      <text>
        <r>
          <rPr>
            <sz val="10"/>
            <rFont val="Arial"/>
            <family val="2"/>
          </rPr>
          <t xml:space="preserve">VIL disclosure as at 31-Mar-2026 (reported PTI, 23-Jun-2026): ₹1,27,360 cr spectrum DPO.</t>
        </r>
      </text>
    </comment>
    <comment ref="B26" authorId="0">
      <text>
        <r>
          <rPr>
            <sz val="10"/>
            <rFont val="Arial"/>
            <family val="2"/>
          </rPr>
          <t xml:space="preserve">VIL BSE/NSE filing 30-Apr-2026: AGR finalised at ₹64,046 cr as of 31-Dec-2025 (down ₹23,649 cr from ₹87,695 cr).</t>
        </r>
      </text>
    </comment>
    <comment ref="B27" authorId="0">
      <text>
        <r>
          <rPr>
            <sz val="10"/>
            <rFont val="Arial"/>
            <family val="2"/>
          </rPr>
          <t xml:space="preserve">VIL disclosure as at 31-Mar-2026: ₹25,254 cr AGR DPO incl. interest accrued (book value of back-ended schedule).</t>
        </r>
      </text>
    </comment>
    <comment ref="B28" authorId="0">
      <text>
        <r>
          <rPr>
            <sz val="10"/>
            <rFont val="Arial"/>
            <family val="2"/>
          </rPr>
          <t xml:space="preserve">Q1 FY27 results (30-Jun-2026): bank debt ₹211 cr (₹1,926 cr a year earlier).</t>
        </r>
      </text>
    </comment>
    <comment ref="B29" authorId="0">
      <text>
        <r>
          <rPr>
            <sz val="10"/>
            <rFont val="Arial"/>
            <family val="2"/>
          </rPr>
          <t xml:space="preserve">Q1 FY27 earnings call: ₹3,300 cr NCDs; net debt ₹3,489 cr.</t>
        </r>
      </text>
    </comment>
    <comment ref="B30" authorId="0">
      <text>
        <r>
          <rPr>
            <sz val="10"/>
            <rFont val="Arial"/>
            <family val="2"/>
          </rPr>
          <t xml:space="preserve">Q1 FY27 results: ₹6,558 cr at 30-Jun-2026 (incl. part warrant proceeds).</t>
        </r>
      </text>
    </comment>
    <comment ref="B31" authorId="0">
      <text>
        <r>
          <rPr>
            <sz val="10"/>
            <rFont val="Arial"/>
            <family val="2"/>
          </rPr>
          <t xml:space="preserve">Q1 FY27 results: ₹11,689 cr (+6.0% YoY).</t>
        </r>
      </text>
    </comment>
    <comment ref="B32" authorId="0">
      <text>
        <r>
          <rPr>
            <sz val="10"/>
            <rFont val="Arial"/>
            <family val="2"/>
          </rPr>
          <t xml:space="preserve">Q1 FY27 results: ₹5,034 cr, 43.1% margin.</t>
        </r>
      </text>
    </comment>
    <comment ref="B33" authorId="0">
      <text>
        <r>
          <rPr>
            <sz val="10"/>
            <rFont val="Arial"/>
            <family val="2"/>
          </rPr>
          <t xml:space="preserve">Q1 FY27 earnings call: ₹2,475 cr (+13.5% YoY).</t>
        </r>
      </text>
    </comment>
    <comment ref="B34" authorId="0">
      <text>
        <r>
          <rPr>
            <sz val="10"/>
            <rFont val="Arial"/>
            <family val="2"/>
          </rPr>
          <t xml:space="preserve">Q1 FY27 earnings call: ₹1,930 cr (supply-chain constrained).</t>
        </r>
      </text>
    </comment>
    <comment ref="B35" authorId="0">
      <text>
        <r>
          <rPr>
            <sz val="10"/>
            <rFont val="Arial"/>
            <family val="2"/>
          </rPr>
          <t xml:space="preserve">Q1 FY27: 193.1 mn (first positive net add quarter since merger).</t>
        </r>
      </text>
    </comment>
    <comment ref="B36" authorId="0">
      <text>
        <r>
          <rPr>
            <sz val="10"/>
            <rFont val="Arial"/>
            <family val="2"/>
          </rPr>
          <t xml:space="preserve">Q1 FY27: ₹195 (+10.2% YoY).</t>
        </r>
      </text>
    </comment>
    <comment ref="B37" authorId="0">
      <text>
        <r>
          <rPr>
            <sz val="10"/>
            <rFont val="Arial"/>
            <family val="2"/>
          </rPr>
          <t xml:space="preserve">Post April-2025 conversion of ₹36,950 cr spectrum dues: 48.99%.</t>
        </r>
      </text>
    </comment>
    <comment ref="B38" authorId="0">
      <text>
        <r>
          <rPr>
            <sz val="10"/>
            <rFont val="Arial"/>
            <family val="2"/>
          </rPr>
          <t xml:space="preserve">Upstox, 13-Jun-2026 close ₹14.90. UPDATE TO LIVE PRICE before circulation.</t>
        </r>
      </text>
    </comment>
    <comment ref="B39" authorId="0">
      <text>
        <r>
          <rPr>
            <sz val="10"/>
            <rFont val="Arial"/>
            <family val="2"/>
          </rPr>
          <t xml:space="preserve">Upstox, 13-Jun-2026: ₹1,53,630 cr.</t>
        </r>
      </text>
    </comment>
    <comment ref="B41" authorId="0">
      <text>
        <r>
          <rPr>
            <sz val="10"/>
            <rFont val="Arial"/>
            <family val="2"/>
          </rPr>
          <t xml:space="preserve">Companies Act 2013 s.53 prohibits issue at a discount to par; 2023 and 2025 Govt conversions were at ₹10.</t>
        </r>
      </text>
    </comment>
    <comment ref="B42" authorId="0">
      <text>
        <r>
          <rPr>
            <sz val="10"/>
            <rFont val="Arial"/>
            <family val="2"/>
          </rPr>
          <t xml:space="preserve">VIL disclosure: instalment scheduled by Mar-2027 ₹7,076 cr.</t>
        </r>
      </text>
    </comment>
    <comment ref="B43" authorId="0">
      <text>
        <r>
          <rPr>
            <sz val="10"/>
            <rFont val="Arial"/>
            <family val="2"/>
          </rPr>
          <t xml:space="preserve">Chairman's AGM address (FY26 AGM): ~₹15,000 cr in FY28.</t>
        </r>
      </text>
    </comment>
    <comment ref="B44" authorId="0">
      <text>
        <r>
          <rPr>
            <sz val="10"/>
            <rFont val="Arial"/>
            <family val="2"/>
          </rPr>
          <t xml:space="preserve">Chairman's AGM address: ~₹27,000 cr in FY29 (₹49,000 cr over FY27–29).</t>
        </r>
      </text>
    </comment>
    <comment ref="B45" authorId="0">
      <text>
        <r>
          <rPr>
            <sz val="10"/>
            <rFont val="Arial"/>
            <family val="2"/>
          </rPr>
          <t xml:space="preserve">MODEL ESTIMATE — not disclosed; DPO runs to FY44. Reconcile to DoT demand schedule.</t>
        </r>
      </text>
    </comment>
    <comment ref="B46" authorId="0">
      <text>
        <r>
          <rPr>
            <sz val="10"/>
            <rFont val="Arial"/>
            <family val="2"/>
          </rPr>
          <t xml:space="preserve">MODEL ESTIMATE — as above.</t>
        </r>
      </text>
    </comment>
    <comment ref="B47" authorId="0">
      <text>
        <r>
          <rPr>
            <sz val="10"/>
            <rFont val="Arial"/>
            <family val="2"/>
          </rPr>
          <t xml:space="preserve">Relief package: ₹124 cr p.a. Mar-26 to Mar-31; ₹100 cr p.a. FY32–35; balance six equal instalments FY36–41.</t>
        </r>
      </text>
    </comment>
    <comment ref="B48" authorId="0">
      <text>
        <r>
          <rPr>
            <sz val="10"/>
            <rFont val="Arial"/>
            <family val="2"/>
          </rPr>
          <t xml:space="preserve">Company guidance: ₹45,000 cr over three years.</t>
        </r>
      </text>
    </comment>
    <comment ref="B49" authorId="0">
      <text>
        <r>
          <rPr>
            <sz val="10"/>
            <rFont val="Arial"/>
            <family val="2"/>
          </rPr>
          <t xml:space="preserve">Board-mandated floor; ≈ US$500 mn at the mandate's ₹80/$ reference.</t>
        </r>
      </text>
    </comment>
    <comment ref="B50" authorId="0">
      <text>
        <r>
          <rPr>
            <sz val="10"/>
            <rFont val="Arial"/>
            <family val="2"/>
          </rPr>
          <t xml:space="preserve">Model assumption; update to RBI reference rate.</t>
        </r>
      </text>
    </comment>
    <comment ref="B52" authorId="0">
      <text>
        <r>
          <rPr>
            <sz val="10"/>
            <rFont val="Arial"/>
            <family val="2"/>
          </rPr>
          <t xml:space="preserve">MODEL ESTIMATE — calibrate to Jun-26 limited-review balance sheet.</t>
        </r>
      </text>
    </comment>
    <comment ref="B53" authorId="0">
      <text>
        <r>
          <rPr>
            <sz val="10"/>
            <rFont val="Arial"/>
            <family val="2"/>
          </rPr>
          <t xml:space="preserve">MODEL ESTIMATE — legacy &gt;₹10,000 cr overdues largely cleared by 2025 (Indus disclosures).</t>
        </r>
      </text>
    </comment>
    <comment ref="B54" authorId="0">
      <text>
        <r>
          <rPr>
            <sz val="10"/>
            <rFont val="Arial"/>
            <family val="2"/>
          </rPr>
          <t xml:space="preserve">MODEL ESTIMATE — capex creditors on 4G/5G rollout contracts.</t>
        </r>
      </text>
    </comment>
    <comment ref="B55" authorId="0">
      <text>
        <r>
          <rPr>
            <sz val="10"/>
            <rFont val="Arial"/>
            <family val="2"/>
          </rPr>
          <t xml:space="preserve">MODEL ESTIMATE.</t>
        </r>
      </text>
    </comment>
    <comment ref="B57" authorId="0">
      <text>
        <r>
          <rPr>
            <sz val="10"/>
            <rFont val="Arial"/>
            <family val="2"/>
          </rPr>
          <t xml:space="preserve">MODEL ESTIMATE — plug so book total liabilities reconcile to ~₹2.1 trn.</t>
        </r>
      </text>
    </comment>
    <comment ref="B58" authorId="0">
      <text>
        <r>
          <rPr>
            <sz val="10"/>
            <rFont val="Arial"/>
            <family val="2"/>
          </rPr>
          <t xml:space="preserve">Pro forma — under negotiation per press; funded limit assumption.</t>
        </r>
      </text>
    </comment>
    <comment ref="B59" authorId="0">
      <text>
        <r>
          <rPr>
            <sz val="10"/>
            <rFont val="Arial"/>
            <family val="2"/>
          </rPr>
          <t xml:space="preserve">MODEL ESTIMATE.</t>
        </r>
      </text>
    </comment>
    <comment ref="B60" authorId="0">
      <text>
        <r>
          <rPr>
            <sz val="10"/>
            <rFont val="Arial"/>
            <family val="2"/>
          </rPr>
          <t xml:space="preserve">MODEL ESTIMATE.</t>
        </r>
      </text>
    </comment>
    <comment ref="B61" authorId="0">
      <text>
        <r>
          <rPr>
            <sz val="10"/>
            <rFont val="Arial"/>
            <family val="2"/>
          </rPr>
          <t xml:space="preserve">MODEL ESTIMATE.</t>
        </r>
      </text>
    </comment>
    <comment ref="B62" authorId="0">
      <text>
        <r>
          <rPr>
            <sz val="10"/>
            <rFont val="Arial"/>
            <family val="2"/>
          </rPr>
          <t xml:space="preserve">MODEL ESTIMATE.</t>
        </r>
      </text>
    </comment>
    <comment ref="B63" authorId="0">
      <text>
        <r>
          <rPr>
            <sz val="10"/>
            <rFont val="Arial"/>
            <family val="2"/>
          </rPr>
          <t xml:space="preserve">MODEL ESTIMATE.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4" authorId="0">
      <text>
        <r>
          <rPr>
            <sz val="10"/>
            <rFont val="Arial"/>
            <family val="2"/>
          </rPr>
          <t xml:space="preserve">Rate at which ₹25,254 cr carrying value accretes to ~₹64,046 cr nominal by FY41.</t>
        </r>
      </text>
    </comment>
  </commentList>
</comments>
</file>

<file path=xl/sharedStrings.xml><?xml version="1.0" encoding="utf-8"?>
<sst xmlns="http://schemas.openxmlformats.org/spreadsheetml/2006/main" count="1487" uniqueCount="1250">
  <si>
    <t xml:space="preserve">VODAFONE IDEA LIMITED (NSE: IDEA) — RESTRUCTURING MODEL v3: CONTROL PANEL</t>
  </si>
  <si>
    <t xml:space="preserve">₹ crore unless stated  |  Blue = hardcoded input  |  Black = formula  |  Red (#C00000) = deficit / breach warning  |  Steel grey (#2F4F4F) = section header  |  Model date: 06-Oct-2026 (v3)</t>
  </si>
  <si>
    <t xml:space="preserve">v3 (6-Oct-2026 review of v2): anchors refreshed to quarter ended 30-Jun-2026 (results announced 10-Aug-2026) · TWCF cost base reconciled to 3_Proj · "DoT cash deferral" + NPV + cliff test (2_Cap rows 90-115) · liquidation SBI switch default 0 (4_Liq B8) · conversion-price sensitivity (rows 132-152) · new checks 6_Reconciliations R8-R11 · v2→v3 change log: 6_Reconciliations R7 (row 125+).  v2 (4-Oct-2026): bridge switch B23 · Plan D · asset-sale row 89 · Plan C s.14 fix · week-10 sensitivity.</t>
  </si>
  <si>
    <t xml:space="preserve">1. RESTRUCTURING SCENARIO SWITCHER</t>
  </si>
  <si>
    <t xml:space="preserve">Active scenario  (1 = Plan A, 2 = Plan B, 3 = Plan C, 4 = Plan D)</t>
  </si>
  <si>
    <t xml:space="preserve">Active scenario name</t>
  </si>
  <si>
    <t xml:space="preserve">2. MACRO SWITCHES</t>
  </si>
  <si>
    <t xml:space="preserve">5G CapEx switch (1 = On, 0 = Off)</t>
  </si>
  <si>
    <t xml:space="preserve">5G CapEx intensity multiplier (x)</t>
  </si>
  <si>
    <t xml:space="preserve">ARPU expansion case (1 = Low, 2 = Base, 3 = High)</t>
  </si>
  <si>
    <t xml:space="preserve">   ARPU growth p.a. — Low (tariff repair stalls)</t>
  </si>
  <si>
    <t xml:space="preserve">   ARPU growth p.a. — Base (one industry hike per ~18 months)</t>
  </si>
  <si>
    <t xml:space="preserve">   ARPU growth p.a. — High (management plan)</t>
  </si>
  <si>
    <t xml:space="preserve">   Active ARPU growth p.a.</t>
  </si>
  <si>
    <t xml:space="preserve">5G ARPU premium uplift p.a. (applies if 5G switch = 1)</t>
  </si>
  <si>
    <t xml:space="preserve">Subscriber churn-reduction switch (1 = On)</t>
  </si>
  <si>
    <t xml:space="preserve">Operating-cost rationalisation switch (1 = On)</t>
  </si>
  <si>
    <t xml:space="preserve">Default penalty manual override (1 = force +bps on)</t>
  </si>
  <si>
    <t xml:space="preserve">Default penalty interest step-up (bps)</t>
  </si>
  <si>
    <t xml:space="preserve">Interest mode — bank &amp; SBI facility (1 = Cash-pay, 2 = PIK)</t>
  </si>
  <si>
    <t xml:space="preserve">Interest mode — NCDs (1 = Cash-pay, 2 = PIK)</t>
  </si>
  <si>
    <t xml:space="preserve">Valuation bridge treatment (1 = Strict, 2 = Middle, 3 = Conservative)</t>
  </si>
  <si>
    <t xml:space="preserve">3. PUBLIC-DISCLOSURE ANCHORS (balance sheet, debt stack, operating run-rate)</t>
  </si>
  <si>
    <t xml:space="preserve">Class</t>
  </si>
  <si>
    <t xml:space="preserve">In claims (₹ cr)</t>
  </si>
  <si>
    <t xml:space="preserve">v3 check</t>
  </si>
  <si>
    <t xml:space="preserve">Source / basis</t>
  </si>
  <si>
    <t xml:space="preserve">Deferred spectrum payment obligation (DPO) incl. accrued interest</t>
  </si>
  <si>
    <t xml:space="preserve">Sourced</t>
  </si>
  <si>
    <t xml:space="preserve">Updated v3</t>
  </si>
  <si>
    <t xml:space="preserve">VIL Q1 FY27 results (quarter ended 30-Jun-2026; announced 10-Aug-2026): deferred payment obligations towards spectrum ₹1,30,299 cr (Free Press Journal, 10-Aug-2026). v2 used the 31-Mar-2026 figure ₹1,27,360 cr. [v3: verified vs public report; primary filing not opened]</t>
  </si>
  <si>
    <t xml:space="preserve">AGR dues — nominal, as finalised by DoT committee</t>
  </si>
  <si>
    <t xml:space="preserve">Verified</t>
  </si>
  <si>
    <t xml:space="preserve">VIL BSE/NSE filing 30-Apr-2026: AGR finalised at ₹64,046 cr as of 31-Dec-2025 (down ₹23,649 cr from ₹87,695 cr).</t>
  </si>
  <si>
    <t xml:space="preserve">AGR DPO — carrying value (discounted, Ind AS)</t>
  </si>
  <si>
    <t xml:space="preserve">VIL Q1 FY27 results (quarter ended 30-Jun-2026): ₹25,759 cr deferred payment obligation towards AGR (Free Press Journal, 10-Aug-2026); used as the Ind AS carrying value of the back-ended schedule. v2: ₹25,254 cr at 31-Mar-2026. [v3: verified vs public report]</t>
  </si>
  <si>
    <t xml:space="preserve">Senior secured bank loans (SBI-led consortium) — outstanding</t>
  </si>
  <si>
    <t xml:space="preserve">Quarter ended 30-Jun-2026; results announced 10-Aug-2026: bank debt ₹211 cr (₹1,926 cr a year earlier).  [v3: verified — public reports show bank debt ₹211 cr vs ₹1,926 cr a year earlier]</t>
  </si>
  <si>
    <t xml:space="preserve">Non-convertible debentures (secured)</t>
  </si>
  <si>
    <t xml:space="preserve">Partly verified</t>
  </si>
  <si>
    <t xml:space="preserve">Quarter ended 30-Jun-2026; results announced 10-Aug-2026 — earnings call: ₹3,300 cr NCDs; net debt ₹3,489 cr.  [v3: PARTLY verified — ₹3,300 cr + ₹211 cr ties to reported ₹3,708 cr bank &amp; other debt incl. accrued interest; the ₹3,489 cr net-debt figure was not re-verified]</t>
  </si>
  <si>
    <t xml:space="preserve">Cash &amp; bank balances</t>
  </si>
  <si>
    <t xml:space="preserve">Quarter ended 30-Jun-2026; results announced 10-Aug-2026 — Q1 FY27 results: ₹6,558 cr at 30-Jun-2026 (incl. part warrant proceeds).  [v3: verified]</t>
  </si>
  <si>
    <t xml:space="preserve">Revenue from operations — Q1 FY27</t>
  </si>
  <si>
    <t xml:space="preserve">Quarter ended 30-Jun-2026; results announced 10-Aug-2026 — Q1 FY27 results: ₹11,689 cr (+6.0% YoY).  [v3: verified]</t>
  </si>
  <si>
    <t xml:space="preserve">EBITDA (Ind AS 116) — Q1 FY27</t>
  </si>
  <si>
    <t xml:space="preserve">Quarter ended 30-Jun-2026; results announced 10-Aug-2026 — Q1 FY27 results: ₹5,034 cr, 43.1% margin.  [v3: verified]</t>
  </si>
  <si>
    <t xml:space="preserve">Cash EBITDA (post lease rentals) — Q1 FY27</t>
  </si>
  <si>
    <t xml:space="preserve">Quarter ended 30-Jun-2026; results announced 10-Aug-2026 — earnings call: ₹2,475 cr (+13.5% YoY).  [v3: verified]</t>
  </si>
  <si>
    <t xml:space="preserve">Capex — Q1 FY27</t>
  </si>
  <si>
    <t xml:space="preserve">Quarter ended 30-Jun-2026; results announced 10-Aug-2026 — earnings call: ₹1,930 cr (supply-chain constrained).  [v3: verified]</t>
  </si>
  <si>
    <t xml:space="preserve">Subscribers (mn) — 30-Jun-2026</t>
  </si>
  <si>
    <t xml:space="preserve">Quarter ended 30-Jun-2026; results announced 10-Aug-2026: 193.1 mn (first positive net add quarter since merger).  [v3: verified]</t>
  </si>
  <si>
    <t xml:space="preserve">Customer ARPU (₹/month, ex-M2M)</t>
  </si>
  <si>
    <t xml:space="preserve">Quarter ended 30-Jun-2026; results announced 10-Aug-2026: ₹195 (+10.2% YoY).  [v3: verified]</t>
  </si>
  <si>
    <t xml:space="preserve">Government of India shareholding</t>
  </si>
  <si>
    <t xml:space="preserve">Post April-2025 conversion of ₹36,950 cr spectrum dues: 48.99%.</t>
  </si>
  <si>
    <t xml:space="preserve">Reference share price (₹)</t>
  </si>
  <si>
    <t xml:space="preserve">Updated v3 (dated)</t>
  </si>
  <si>
    <t xml:space="preserve">NSE close 1-Oct-2026 ₹12.64 (ICICI Direct). 5-Oct-2026 intraday ₹12.63–12.74 (Anand Rathi / HDFC Sky) — close not confirmed. 10-Aug-2026 close ₹12.92 (per v3 brief; NOT independently verified). Not a live feed: UPDATE TO LIVE PRICE before circulation.</t>
  </si>
  <si>
    <t xml:space="preserve">Market capitalisation at reference price</t>
  </si>
  <si>
    <t xml:space="preserve">Updated v3 (3rd party)</t>
  </si>
  <si>
    <t xml:space="preserve">Third-party market cap at ₹12.64 as of 1-Oct-2026: ₹1,36,945.6 cr (ICICI Direct / Tickertape). UNVERIFIED vs exchange data.</t>
  </si>
  <si>
    <t xml:space="preserve">Shares outstanding (crore) — derived</t>
  </si>
  <si>
    <t xml:space="preserve">Derived; ties to 3rd party</t>
  </si>
  <si>
    <t xml:space="preserve">Calc: market cap / price = ~10,834 cr; ties to third-party share count 10,834.3 cr (Tickertape / Yahoo 108.34bn). v2 derived 10,311 cr from a stale price × market cap pair. Replace with the BSE shareholding-pattern count.</t>
  </si>
  <si>
    <t xml:space="preserve">Face value / par (₹) — legal floor on issue price</t>
  </si>
  <si>
    <t xml:space="preserve">Verified (face value)</t>
  </si>
  <si>
    <t xml:space="preserve">Companies Act 2013 s.53 prohibits issue at a discount to par; 2023 and 2025 Govt conversions were at ₹10.</t>
  </si>
  <si>
    <t xml:space="preserve">Spectrum DPO instalment — FY27</t>
  </si>
  <si>
    <t xml:space="preserve">UNVERIFIED (exact)</t>
  </si>
  <si>
    <t xml:space="preserve">FY27 (to Mar-2027) spectrum instalment ₹7,076 cr — exact figure NOT located in public reports (they say ~₹7,000 cr; Business Standard 1-May-2026) → UNVERIFIED. RECONCILIATION: ₹9,259 cr (spectrum + AGR) is disclosed as due by Jun-2027 [per v3 brief; UNVERIFIED — not located]. = FY27 spectrum 7,076 + FY27 AGR 124 + ₹2,059 cr residual falling Apr–Jun 2027 (FY28). Model keeps fiscal-year columns; the residual sits inside FY28 (B43). See 6_Reconciliations R11.</t>
  </si>
  <si>
    <t xml:space="preserve">Spectrum DPO instalment — FY28</t>
  </si>
  <si>
    <t xml:space="preserve">Corroborated (rounded)</t>
  </si>
  <si>
    <t xml:space="preserve">Chairman's AGM address (FY26 AGM): ~₹15,000 cr in FY28.  [v3: ~₹15,000 cr FY28 corroborated by Business Standard 1-May-2026; rounded — UNVERIFIED as exact]</t>
  </si>
  <si>
    <t xml:space="preserve">Spectrum DPO instalment — FY29</t>
  </si>
  <si>
    <t xml:space="preserve">Chairman's AGM address: ~₹27,000 cr in FY29 (₹49,000 cr over FY27–29).  [v3: ~₹27,000 cr FY29 corroborated by Business Standard 1-May-2026; rounded — UNVERIFIED as exact]</t>
  </si>
  <si>
    <t xml:space="preserve">Spectrum DPO instalment — FY30 (model estimate)</t>
  </si>
  <si>
    <t xml:space="preserve">Model estimate</t>
  </si>
  <si>
    <t xml:space="preserve">UNVERIFIED</t>
  </si>
  <si>
    <t xml:space="preserve">MODEL ESTIMATE — UNVERIFIED: not disclosed; DPO runs to FY44. Reconcile to DoT demand schedule.</t>
  </si>
  <si>
    <t xml:space="preserve">Spectrum DPO instalment — FY31 (model estimate)</t>
  </si>
  <si>
    <t xml:space="preserve">MODEL ESTIMATE — UNVERIFIED: not disclosed (as B45).</t>
  </si>
  <si>
    <t xml:space="preserve">AGR annual instalment FY27–FY31</t>
  </si>
  <si>
    <t xml:space="preserve">Corroborated to FY31</t>
  </si>
  <si>
    <t xml:space="preserve">Relief package: ₹124 cr p.a. Mar-26 to Mar-31; ₹100 cr p.a. FY32–35; balance six equal instalments FY36–41.  [v3: ₹124 cr p.a. to Mar-2031 corroborated (Business Standard 1-May-2026); FY32+ schedule not re-verified]</t>
  </si>
  <si>
    <t xml:space="preserve">Management 3-year capex plan</t>
  </si>
  <si>
    <t xml:space="preserve">Company guidance: ₹45,000 cr over three years.</t>
  </si>
  <si>
    <t xml:space="preserve">Minimum operating liquidity threshold (₹40 bn)</t>
  </si>
  <si>
    <t xml:space="preserve">Treated as MODEL ESTIMATE / UNVERIFIED in v3: v2 called this "board-mandated" but no source was found. ≈ US$500 mn at ₹80/$ reference.</t>
  </si>
  <si>
    <t xml:space="preserve">USD/INR (model)</t>
  </si>
  <si>
    <t xml:space="preserve">Model assumption; update to RBI reference rate.</t>
  </si>
  <si>
    <t xml:space="preserve">Threshold in US$ mn at model FX</t>
  </si>
  <si>
    <t xml:space="preserve">Calc</t>
  </si>
  <si>
    <t xml:space="preserve">Calc: ₹ cr × 10 / FX</t>
  </si>
  <si>
    <t xml:space="preserve">Lease liabilities (Ind AS 116; Indus Towers &amp; other towercos)</t>
  </si>
  <si>
    <t xml:space="preserve">MODEL ESTIMATE — calibrate to Jun-26 limited-review balance sheet.</t>
  </si>
  <si>
    <t xml:space="preserve">Trade payables — Indus Towers (current MSA dues)</t>
  </si>
  <si>
    <t xml:space="preserve">MODEL ESTIMATE — legacy &gt;₹10,000 cr overdues largely cleared by 2025 (Indus disclosures).</t>
  </si>
  <si>
    <t xml:space="preserve">Trade payables — network vendors (Ericsson, Nokia, Samsung)</t>
  </si>
  <si>
    <t xml:space="preserve">MODEL ESTIMATE — capex creditors on 4G/5G rollout contracts.</t>
  </si>
  <si>
    <t xml:space="preserve">Trade payables — other operational creditors</t>
  </si>
  <si>
    <t xml:space="preserve">MODEL ESTIMATE.</t>
  </si>
  <si>
    <t xml:space="preserve">Trade payables — total</t>
  </si>
  <si>
    <t xml:space="preserve">Calc (sum of 53-55)</t>
  </si>
  <si>
    <t xml:space="preserve">Sum.</t>
  </si>
  <si>
    <t xml:space="preserve">Other liabilities &amp; provisions (deferred revenue, statutory, employee)</t>
  </si>
  <si>
    <t xml:space="preserve">Plug</t>
  </si>
  <si>
    <t xml:space="preserve">UNVERIFIED (plug)</t>
  </si>
  <si>
    <t xml:space="preserve">MODEL ESTIMATE — plug so book total liabilities reconcile to ~₹2.1 trn.</t>
  </si>
  <si>
    <t xml:space="preserve">Proposed SBI-led consortium capex facility (pro forma limit)</t>
  </si>
  <si>
    <t xml:space="preserve">UNVERIFIED (press)</t>
  </si>
  <si>
    <t xml:space="preserve">Pro forma — under negotiation per press; funded limit assumption.</t>
  </si>
  <si>
    <t xml:space="preserve">Trade receivables</t>
  </si>
  <si>
    <t xml:space="preserve">Other current assets (GST input credits, deposits, prepaid)</t>
  </si>
  <si>
    <t xml:space="preserve">Net PP&amp;E (RAN, transmission, fibre, core)</t>
  </si>
  <si>
    <t xml:space="preserve">Spectrum &amp; other intangibles (net)</t>
  </si>
  <si>
    <t xml:space="preserve">Right-of-use assets (tower &amp; site leases)</t>
  </si>
  <si>
    <t xml:space="preserve">TOTAL LIABILITIES — book (AGR at carrying value)</t>
  </si>
  <si>
    <t xml:space="preserve">Reconciles to the ~₹2.1 trn total-liabilities anchor.</t>
  </si>
  <si>
    <t xml:space="preserve">TOTAL CLAIMS — nominal (AGR at face, for IBC claims)</t>
  </si>
  <si>
    <t xml:space="preserve">Claims basis used in the s.53 waterfall.</t>
  </si>
  <si>
    <t xml:space="preserve">4. SCENARIO PARAMETER MATRIX</t>
  </si>
  <si>
    <t xml:space="preserve">Parameter</t>
  </si>
  <si>
    <t xml:space="preserve">Plan A</t>
  </si>
  <si>
    <t xml:space="preserve">Plan B</t>
  </si>
  <si>
    <t xml:space="preserve">Plan C</t>
  </si>
  <si>
    <t xml:space="preserve">ACTIVE</t>
  </si>
  <si>
    <t xml:space="preserve">Plan D</t>
  </si>
  <si>
    <t xml:space="preserve">Mechanics</t>
  </si>
  <si>
    <t xml:space="preserve">AGR nominal converted to Govt equity (%)</t>
  </si>
  <si>
    <t xml:space="preserve">Plan A: 25% of finalised AGR face swapped into equity at ≥ par.  |  Plan D: no Government conversion — the State is asked only for a standstill.</t>
  </si>
  <si>
    <t xml:space="preserve">Spectrum DPO converted to Govt equity (%)</t>
  </si>
  <si>
    <t xml:space="preserve">Plan A: 20% of spectrum DPO (≈ accrued-interest component) swapped into equity.  |  Plan D: none.</t>
  </si>
  <si>
    <t xml:space="preserve">Conversion price (₹/share) — floored at par</t>
  </si>
  <si>
    <t xml:space="preserve">Floor = ₹10 par (Companies Act s.53). Active cell applies MAX(input, par).  |  n/a in Plan D (no conversion).  |  v3: Govt stake at par vs market price → rows 132-145; why ₹10 vs new-money ₹12 and the legal/SEBI flag → rows 147-151.</t>
  </si>
  <si>
    <t xml:space="preserve">Spectrum DPO moratorium (years from FY27)</t>
  </si>
  <si>
    <t xml:space="preserve">Plan A: 4-yr moratorium on spectrum instalments (FY27–FY30), mirrors 2021 relief architecture.  |  Plan D: 12-month DoT standstill/deferral on spectrum instalments (ASSUMPTION — a short standstill is the ask that a strategic would need to see; the length is untested).  |  v2 FIX Plan C: s.14 moratorium freezes pre-CIRP dues for the 24-month CIRP (row 86); interest accrues (was 0 yrs, cash-paid, which forced ₹49k of DPO instalments into the Plan C liquidity need).</t>
  </si>
  <si>
    <t xml:space="preserve">Spectrum DPO interest rate (post-deal)</t>
  </si>
  <si>
    <t xml:space="preserve">Base ~9.0% blended (MCLR-linked auction terms, MODEL ESTIMATE); Plan A resets to 7.5%.  |  Plan D: contract-rate ~9% (MODEL ESTIMATE), no reset.</t>
  </si>
  <si>
    <t xml:space="preserve">Spectrum interest during moratorium (1 = Cash, 2 = PIK)</t>
  </si>
  <si>
    <t xml:space="preserve">Plan A capitalises interest (PIK) during moratorium.  |  Plan D: interest accrues (PIK) during the standstill.  |  v2 FIX Plan C: interest accrues (PIK) under the s.14 stay.</t>
  </si>
  <si>
    <t xml:space="preserve">Senior secured bank haircut (%)</t>
  </si>
  <si>
    <t xml:space="preserve">Plan B: 40% (range 35–50%) under RBI Prudential Framework (7-Jun-2019) ICA.  |  Plan D: no haircuts — a strategic investor changes the credit, so lenders and vendors are not asked to take losses.</t>
  </si>
  <si>
    <t xml:space="preserve">NCD haircut (%)</t>
  </si>
  <si>
    <t xml:space="preserve">Plan B: 25% haircut via debenture-trustee consent (SEBI NCS regulations).</t>
  </si>
  <si>
    <t xml:space="preserve">Network vendor &amp; other payables haircut (%)</t>
  </si>
  <si>
    <t xml:space="preserve">Plan B: 15% on Ericsson/Nokia/Samsung &amp; other trade; Indus Towers excluded (critical supplier).</t>
  </si>
  <si>
    <t xml:space="preserve">13-week vendor payment deferral (% of capex disbursements)</t>
  </si>
  <si>
    <t xml:space="preserve">Standstill / s.14 moratorium effect on capex creditors within TWCF window.  |  Plan D: 10% capex-vendor deferral during the standstill (as Plan A).</t>
  </si>
  <si>
    <t xml:space="preserve">13-week receipts stress (collection haircut)</t>
  </si>
  <si>
    <t xml:space="preserve">Plan C: CIRP announcement triggers MNP port-outs and prepaid recharge decline.  |  Plan D: 3% collection stress from a visible sale process (ASSUMPTION; same as Plan B).</t>
  </si>
  <si>
    <t xml:space="preserve">Funded debt maturity extension (years)</t>
  </si>
  <si>
    <t xml:space="preserve">5-year extension on bank and NCD maturities.  |  Plan D: 5-yr extension on bank/NCD (as Plan A/B).</t>
  </si>
  <si>
    <t xml:space="preserve">New-money equity (₹ cr) — promoters / QIP</t>
  </si>
  <si>
    <t xml:space="preserve">Plan A conditional on ABG/Vodafone + QIP; Plan B smaller rights issue.  |  Plan D: ₹30,000 cr strategic equity — ILLUSTRATIVE (2× Plan A new money, ~22% of reference market cap (B39)). No buyer is identified; the break-even cheque is solved on 6_Reconciliations.</t>
  </si>
  <si>
    <t xml:space="preserve">New-money issue price (₹/share)</t>
  </si>
  <si>
    <t xml:space="preserve">Floored at par.  |  Plan D: strategic buys at the reference price (B38), i.e. no control premium — ASSUMPTION.  |  v3: Plan A new money priced at ₹12 is a MODEL ASSUMPTION; see rows 147-151 for why Govt converts at ₹10.</t>
  </si>
  <si>
    <t xml:space="preserve">SBI-led facility drawn (% of pro forma limit)</t>
  </si>
  <si>
    <t xml:space="preserve">Banks lend only behind Govt relief; Plan C = nil.  |  Plan D: 30% of the SBI limit drawn (as Plan B).</t>
  </si>
  <si>
    <t xml:space="preserve">Contractual default penalty triggered (1/0)</t>
  </si>
  <si>
    <t xml:space="preserve">Standstill / CIRP constitutes an event of default → +200 bps.  |  Plan D: consensual standstill documented with lender/DoT waiver, so +200 bps not triggered (ASSUMPTION).</t>
  </si>
  <si>
    <t xml:space="preserve">Restructuring / CIRP process costs (₹ cr)</t>
  </si>
  <si>
    <t xml:space="preserve">Advisers, IRP/RP fees, ICA costs; Plan C incl. liquidation costs.  |  Plan D: advisers + sale process (ASSUMPTION = Plan B level).</t>
  </si>
  <si>
    <t xml:space="preserve">Indicative timeline to implementation (months)</t>
  </si>
  <si>
    <t xml:space="preserve">IBC 330-day outer limit routinely exceeded in large CIRPs.  |  Plan D: sale process + DoT/Cabinet consent ~9 months (ASSUMPTION).</t>
  </si>
  <si>
    <t xml:space="preserve">Going concern preserved (1/0)</t>
  </si>
  <si>
    <t xml:space="preserve">Govt voting-stake cap (excess via non-voting OCRPS)</t>
  </si>
  <si>
    <t xml:space="preserve">Govt has signalled it does not want operational control; excess structured as OCRPS.</t>
  </si>
  <si>
    <t xml:space="preserve">Asset-sale proceeds (₹ cr; non-dilutive; sold at book, assumed zero EBITDA)</t>
  </si>
  <si>
    <t xml:space="preserve">v2 NEW. No saleable non-spectrum asset is identified in the source files; spectrum cannot be sold without DoT clearance. Kept at 0 — use as a sensitivity (liquidity need falls ₹-for-₹, before any lost EBITDA).</t>
  </si>
  <si>
    <t xml:space="preserve">5. SCENARIO DASHBOARD — LIVE OUTPUTS</t>
  </si>
  <si>
    <t xml:space="preserve">Active scenario</t>
  </si>
  <si>
    <t xml:space="preserve">13-week minimum closing cash (₹ cr)</t>
  </si>
  <si>
    <t xml:space="preserve">Weeks below ₹40 bn threshold</t>
  </si>
  <si>
    <t xml:space="preserve">First breach week (0 = none)</t>
  </si>
  <si>
    <t xml:space="preserve">Liquidity status</t>
  </si>
  <si>
    <t xml:space="preserve">Default penalty active (+200 bps)</t>
  </si>
  <si>
    <t xml:space="preserve">Statutory dues converted to equity (₹ cr)</t>
  </si>
  <si>
    <t xml:space="preserve">DoT cash deferral FY27–FY31 vs contract (₹ cr)</t>
  </si>
  <si>
    <t xml:space="preserve">v3: renamed from "cash relief". This is a DEFERRAL, not forgiveness: the carried balance still accrues interest and falls due FY32+ — see NPV, carry-forward and cliff test below (rows 119-123; 2_Cap rows 91-115).</t>
  </si>
  <si>
    <t xml:space="preserve">Government economic stake — post deal</t>
  </si>
  <si>
    <t xml:space="preserve">Excess Govt shares to non-voting OCRPS (crore)</t>
  </si>
  <si>
    <t xml:space="preserve">FY29 cash EBITDA (₹ cr)</t>
  </si>
  <si>
    <t xml:space="preserve">Cumulative liquidity facility required FY27–FY31 (₹ cr)</t>
  </si>
  <si>
    <t xml:space="preserve">Minimum DSCR FY27–FY31 (x)</t>
  </si>
  <si>
    <t xml:space="preserve">Going-concern EV — DCF (₹ cr)</t>
  </si>
  <si>
    <t xml:space="preserve">Liquidation proceeds — selected case (₹ cr)</t>
  </si>
  <si>
    <t xml:space="preserve">GC value / liquidation value (x)</t>
  </si>
  <si>
    <t xml:space="preserve">Government recovery — going concern (%)</t>
  </si>
  <si>
    <t xml:space="preserve">Government recovery — liquidation (%)</t>
  </si>
  <si>
    <t xml:space="preserve">Secured lender recovery — liquidation (%)</t>
  </si>
  <si>
    <t xml:space="preserve">Projection balance check (sum of abs, must be 0)</t>
  </si>
  <si>
    <t xml:space="preserve">Valuation bridge treatment — active</t>
  </si>
  <si>
    <t xml:space="preserve">Govt recovery GC — Strict (%)</t>
  </si>
  <si>
    <t xml:space="preserve">Govt recovery GC — Middle (%)</t>
  </si>
  <si>
    <t xml:space="preserve">Govt recovery GC — Conservative (%)</t>
  </si>
  <si>
    <t xml:space="preserve">Govt recovery GC — range low (%)</t>
  </si>
  <si>
    <t xml:space="preserve">Govt recovery GC — range high (%)</t>
  </si>
  <si>
    <t xml:space="preserve">Terminal value as % of EV</t>
  </si>
  <si>
    <t xml:space="preserve">Largest week-10 DoT payment with no ₹40 bn breach (₹ cr)</t>
  </si>
  <si>
    <t xml:space="preserve">DoT cash deferral — NPV @ post-deal spectrum rate (₹ cr)</t>
  </si>
  <si>
    <t xml:space="preserve">Obligations carried to FY32+ (DPO + AGR nominal, FY31) (₹ cr)</t>
  </si>
  <si>
    <t xml:space="preserve">Cliff test — FY31 DPO + AGR ÷ FY31 cash EBITDA (x)</t>
  </si>
  <si>
    <t xml:space="preserve">Cliff test — implied annual instalment FY32–44 (₹ cr)</t>
  </si>
  <si>
    <t xml:space="preserve">   … as % of FY31 cash EBITDA</t>
  </si>
  <si>
    <t xml:space="preserve">Govt recovery — GC, carrying-value basis (%)</t>
  </si>
  <si>
    <t xml:space="preserve">v3: same numerator as row 107, denominator = spectrum DPO + AGR at carrying value (3_Proj D128:E129).</t>
  </si>
  <si>
    <t xml:space="preserve">Govt recovery — liquidation, SBI excluded (%)</t>
  </si>
  <si>
    <t xml:space="preserve">v3: "today" comparison (4_Liq B8 = 0 default).</t>
  </si>
  <si>
    <t xml:space="preserve">Govt recovery — liquidation, SBI included (%)</t>
  </si>
  <si>
    <t xml:space="preserve">v3: failure-after-drawdown case (4_Liq B8 = 1); lower because ₹15,000 cr of secured claims rank ahead with no asset behind them.</t>
  </si>
  <si>
    <t xml:space="preserve">TWCF 13-wk cash margin vs reported cash EBITDA (pp)</t>
  </si>
  <si>
    <t xml:space="preserve">Claims estimated (model estimate + plug), % of B65</t>
  </si>
  <si>
    <t xml:space="preserve">6_Reconciliations R8: share of the ₹B65 claims stack that is a model estimate or plug.</t>
  </si>
  <si>
    <t xml:space="preserve">Model equity less reported net worth (₹ cr)</t>
  </si>
  <si>
    <t xml:space="preserve">7. CONVERSION-PRICE SENSITIVITY — Govt stake and value at ₹10 par vs market price (v3; live, active plan)</t>
  </si>
  <si>
    <t xml:space="preserve">Metric</t>
  </si>
  <si>
    <t xml:space="preserve">At par (B41)</t>
  </si>
  <si>
    <t xml:space="preserve">At new-money price (E82)</t>
  </si>
  <si>
    <t xml:space="preserve">At market price (B38, floored at par)</t>
  </si>
  <si>
    <t xml:space="preserve">ACTIVE plan (E71)</t>
  </si>
  <si>
    <t xml:space="preserve">Conversion price (₹/share)</t>
  </si>
  <si>
    <t xml:space="preserve">New shares issued to Govt (crore)</t>
  </si>
  <si>
    <t xml:space="preserve">Govt existing shares (crore)</t>
  </si>
  <si>
    <t xml:space="preserve">New-money shares (crore)</t>
  </si>
  <si>
    <t xml:space="preserve">Post-deal shares (crore)</t>
  </si>
  <si>
    <t xml:space="preserve">Govt economic stake — post deal</t>
  </si>
  <si>
    <t xml:space="preserve">Excess over voting cap → OCRPS (crore)</t>
  </si>
  <si>
    <t xml:space="preserve">Dilution of existing non-Govt holders</t>
  </si>
  <si>
    <t xml:space="preserve">Market value of Govt conversion shares at B38 (₹ cr)</t>
  </si>
  <si>
    <t xml:space="preserve">Mkt value ÷ dues converted (x) — converted-slice recovery</t>
  </si>
  <si>
    <t xml:space="preserve">Govt GC recovery, all dues (3_Proj C129) — price-independent</t>
  </si>
  <si>
    <t xml:space="preserve">WHY GOVT CONVERTS AT ₹10 WHILE NEW MONEY PRICES AT ₹12 (Plan A): the Govt leg is a conversion of statutory dues, modelled at the ₹10 par floor (B41; the 2023 and 2025 Govt conversions were at ₹10 per the v2 note on F41 — not re-verified in v3). The new-money leg (E82 = ₹12) is a MODEL ASSUMPTION for a negotiated promoter/QIP issue priced a little below the market price in B38. Different counterparties, different pricing rules, so the prices need not match.</t>
  </si>
  <si>
    <t xml:space="preserve">THE PAR FLOOR IS A MINIMUM, NOT NECESSARILY THE BINDING CONSTRAINT: with the market price above ₹10, par no longer sets the price. A market-linked floor (e.g. SEBI ICDR preferential-allotment pricing) could bind, and whether any exemption or relaxation applies to a dues-to-equity swap is a legal question. FLAG FOR LEGAL / SEBI CHECK — UNVERIFIED here; nothing in this workbook should be read as a legal conclusion.</t>
  </si>
  <si>
    <t xml:space="preserve">READING THE TABLE: at par the Govt gets more shares per ₹ converted (so a higher stake and more dilution for others); at market it gets fewer. Row 144 marks the converted slice to B38 (above 1.0x means the Govt receives shares worth more than the dues it gives up). Row 145 does not move: 3_Proj C129 measures value available vs claims before splitting it between equity and residual claims, so it is price-independent by construction.</t>
  </si>
  <si>
    <t xml:space="preserve">1. THIRTEEN-WEEK DIRECT CASH FLOW (TWCF) — LIQUIDITY RUNWAY &amp; ₹40 BN ALERT  [v3]</t>
  </si>
  <si>
    <t xml:space="preserve">₹ crore  |  Direct method (receipts vs disbursements)  |  Weeks commence Monday 05-Oct-2026 (Q3 FY27)  |  Breach = closing cash &lt; threshold → red flag</t>
  </si>
  <si>
    <t xml:space="preserve">ILLUSTRATIVE ASSUMPTIONS (not disclosed figures): B5 opening cash · B23 spectrum instalment amount · C23 instalment week. Everything in rows 75-82 and 85-121 is conditional on them.</t>
  </si>
  <si>
    <t xml:space="preserve">DRIVERS</t>
  </si>
  <si>
    <t xml:space="preserve">Value</t>
  </si>
  <si>
    <t xml:space="preserve">Week #</t>
  </si>
  <si>
    <t xml:space="preserve">Basis</t>
  </si>
  <si>
    <t xml:space="preserve">Opening cash — week beginning 05-Oct-2026</t>
  </si>
  <si>
    <t xml:space="preserve">ILLUSTRATIVE — MODEL ESTIMATE: Jun-26 ₹6,558 cr less ~₹750 cr Q2 net burn. Replace with treasury position.</t>
  </si>
  <si>
    <t xml:space="preserve">First week beginning (Monday)</t>
  </si>
  <si>
    <t xml:space="preserve">QoQ revenue growth (Q1 → Q3 FY27)</t>
  </si>
  <si>
    <t xml:space="preserve">Q1 FY27 QoQ was +3.2%.</t>
  </si>
  <si>
    <t xml:space="preserve">Q3 FY27E revenue (₹ cr)</t>
  </si>
  <si>
    <t xml:space="preserve">Calc: Q1 × (1+QoQ)^2</t>
  </si>
  <si>
    <t xml:space="preserve">Q2 FY27E revenue (base for LF/SUC payable)</t>
  </si>
  <si>
    <t xml:space="preserve">Calc: Q1 × (1+QoQ)</t>
  </si>
  <si>
    <t xml:space="preserve">Prepaid share of collections</t>
  </si>
  <si>
    <t xml:space="preserve">Prepaid collected upfront at recharge.</t>
  </si>
  <si>
    <t xml:space="preserve">Collection efficiency (post-scenario stress)</t>
  </si>
  <si>
    <t xml:space="preserve">Calc: 98.5% × (1 − scenario receipts stress)</t>
  </si>
  <si>
    <t xml:space="preserve">Base collection efficiency</t>
  </si>
  <si>
    <t xml:space="preserve">Quarterly tower &amp; site rentals (₹ cr)</t>
  </si>
  <si>
    <t xml:space="preserve">Calc: (EBITDA − cash EBITDA) Q1 × (1+QoQ)^2; paid monthly in advance</t>
  </si>
  <si>
    <t xml:space="preserve">Indus Towers share of rentals</t>
  </si>
  <si>
    <t xml:space="preserve">MODEL ESTIMATE — balance to other towercos (e.g., Data Infrastructure Trust).</t>
  </si>
  <si>
    <t xml:space="preserve">Network power &amp; fuel (% revenue)</t>
  </si>
  <si>
    <t xml:space="preserve">Diesel/grid electricity pass-through at sites.</t>
  </si>
  <si>
    <t xml:space="preserve">Other network O&amp;M (% revenue)</t>
  </si>
  <si>
    <t xml:space="preserve">v3: = 3_Proj C22 (21.5% network opex ex-lease, calibrated to the reported 43.1% EBITDA margin) − B15. v2 input was 6.0% (network 17.0%; total cost 52.4% vs 56.9% in 3_Proj). Check rows 124-137.</t>
  </si>
  <si>
    <t xml:space="preserve">Licence fee &amp; SUC (% revenue) — paid quarterly</t>
  </si>
  <si>
    <t xml:space="preserve">LF 8% of AGR + SUC; Q2 dues paid within 15 days of quarter end.</t>
  </si>
  <si>
    <t xml:space="preserve">Employee costs (% revenue) — paid monthly</t>
  </si>
  <si>
    <t xml:space="preserve">SG&amp;A, dealer commissions (% revenue)</t>
  </si>
  <si>
    <t xml:space="preserve">Interconnect, roaming &amp; other (% revenue)</t>
  </si>
  <si>
    <t xml:space="preserve">Capex cash disbursements in window (₹ cr)</t>
  </si>
  <si>
    <t xml:space="preserve">Ericsson / Nokia / Samsung milestone payments.</t>
  </si>
  <si>
    <t xml:space="preserve">Vendor deferral (% of capex) — active scenario</t>
  </si>
  <si>
    <t xml:space="preserve">From scenario matrix.</t>
  </si>
  <si>
    <t xml:space="preserve">Spectrum DPO instalment falling in window (₹ cr)</t>
  </si>
  <si>
    <t xml:space="preserve">ILLUSTRATIVE (amount and week) — MODEL TIMING ESTIMATE — NOT a disclosed date; part of FY27 ₹7,076 cr. Amount × week sensitivity in rows 85-117; reconcile to DoT demand notices.</t>
  </si>
  <si>
    <t xml:space="preserve">Restructuring relief effective within window? (1 = Yes)</t>
  </si>
  <si>
    <t xml:space="preserve">If 1 and active scenario has a spectrum moratorium, the instalment is deferred.</t>
  </si>
  <si>
    <t xml:space="preserve">NCD coupon in window (₹ cr)</t>
  </si>
  <si>
    <t xml:space="preserve">Calc: NCD × coupon / 4</t>
  </si>
  <si>
    <t xml:space="preserve">Bank loan amortisation in window (₹ cr)</t>
  </si>
  <si>
    <t xml:space="preserve">Calc: existing bank debt (bullet in window)</t>
  </si>
  <si>
    <t xml:space="preserve">Restructuring professional fees in window (% of process cost)</t>
  </si>
  <si>
    <t xml:space="preserve">Warrant / equity proceeds (₹ cr)</t>
  </si>
  <si>
    <t xml:space="preserve">MODEL ESTIMATE — balance of promoter warrant subscription (₹1,182 cr received Jun-26).</t>
  </si>
  <si>
    <t xml:space="preserve">Committed bank facility drawdown (₹ cr)</t>
  </si>
  <si>
    <t xml:space="preserve">Set &gt; 0 once SBI-led facility documented.</t>
  </si>
  <si>
    <t xml:space="preserve">Minimum liquidity threshold (₹ cr)</t>
  </si>
  <si>
    <t xml:space="preserve">From Control Panel (₹40 bn).</t>
  </si>
  <si>
    <t xml:space="preserve">v3 checks: cost-base reconciliation vs 3_Proj and 13-week cash margin vs reported cash EBITDA margin → rows 123-140.</t>
  </si>
  <si>
    <t xml:space="preserve">WEEKLY GRID</t>
  </si>
  <si>
    <t xml:space="preserve">13-wk Total</t>
  </si>
  <si>
    <t xml:space="preserve">Week beginning</t>
  </si>
  <si>
    <t xml:space="preserve">First week of month flag (rent / payroll)</t>
  </si>
  <si>
    <t xml:space="preserve">Collections seasonality factor</t>
  </si>
  <si>
    <t xml:space="preserve">OPERATING RECEIPTS</t>
  </si>
  <si>
    <t xml:space="preserve">Prepaid recharge collections</t>
  </si>
  <si>
    <t xml:space="preserve">Postpaid, enterprise &amp; wholesale collections</t>
  </si>
  <si>
    <t xml:space="preserve">Total operating receipts</t>
  </si>
  <si>
    <t xml:space="preserve">OPERATING DISBURSEMENTS</t>
  </si>
  <si>
    <t xml:space="preserve">Tower rent — Indus Towers (monthly in advance)</t>
  </si>
  <si>
    <t xml:space="preserve">Tower rent — other towercos</t>
  </si>
  <si>
    <t xml:space="preserve">Network power &amp; fuel</t>
  </si>
  <si>
    <t xml:space="preserve">Network O&amp;M &amp; other</t>
  </si>
  <si>
    <t xml:space="preserve">Licence fee &amp; spectrum usage charges (quarterly)</t>
  </si>
  <si>
    <t xml:space="preserve">Employee costs</t>
  </si>
  <si>
    <t xml:space="preserve">SG&amp;A &amp; dealer commissions</t>
  </si>
  <si>
    <t xml:space="preserve">Interconnect, roaming &amp; other</t>
  </si>
  <si>
    <t xml:space="preserve">Total operating disbursements</t>
  </si>
  <si>
    <t xml:space="preserve">NET OPERATING CASH FLOW</t>
  </si>
  <si>
    <t xml:space="preserve">CAPEX, STATUTORY &amp; FINANCING FLOWS</t>
  </si>
  <si>
    <t xml:space="preserve">Capex — network vendors (Ericsson / Nokia / Samsung), net of deferral</t>
  </si>
  <si>
    <t xml:space="preserve">Spectrum DPO instalment (principal + interest) — DoT</t>
  </si>
  <si>
    <t xml:space="preserve">NCD coupon</t>
  </si>
  <si>
    <t xml:space="preserve">Bank loan amortisation (SBI consortium)</t>
  </si>
  <si>
    <t xml:space="preserve">Restructuring / CIRP professional fees</t>
  </si>
  <si>
    <t xml:space="preserve">Equity / warrant proceeds</t>
  </si>
  <si>
    <t xml:space="preserve">Committed facility drawdown</t>
  </si>
  <si>
    <t xml:space="preserve">NET CASH FLOW</t>
  </si>
  <si>
    <t xml:space="preserve">LIQUIDITY POSITION &amp; ALERT</t>
  </si>
  <si>
    <t xml:space="preserve">Opening cash</t>
  </si>
  <si>
    <t xml:space="preserve">Closing cash</t>
  </si>
  <si>
    <t xml:space="preserve">Minimum liquidity threshold (₹40 bn)</t>
  </si>
  <si>
    <t xml:space="preserve">Headroom / (deficit) vs threshold</t>
  </si>
  <si>
    <t xml:space="preserve">ALERT FLAG</t>
  </si>
  <si>
    <t xml:space="preserve">Breach indicator (1/0)</t>
  </si>
  <si>
    <t xml:space="preserve">SUMMARY</t>
  </si>
  <si>
    <t xml:space="preserve">Minimum closing cash (13 weeks)</t>
  </si>
  <si>
    <t xml:space="preserve">Week of minimum</t>
  </si>
  <si>
    <t xml:space="preserve">Number of breach weeks (&lt; threshold)</t>
  </si>
  <si>
    <t xml:space="preserve">Payment default flag (closing cash &lt; 0)</t>
  </si>
  <si>
    <t xml:space="preserve">LIQUIDITY STATUS</t>
  </si>
  <si>
    <t xml:space="preserve">Cumulative net operating cash flow</t>
  </si>
  <si>
    <t xml:space="preserve">Cumulative net cash flow</t>
  </si>
  <si>
    <t xml:space="preserve">WEEK-10 SPECTRUM INSTALMENT — AMOUNT × TIMING SENSITIVITY  (B23:C23 are MODEL ASSUMPTIONS, not a finding)</t>
  </si>
  <si>
    <t xml:space="preserve">Closing cash EXCLUDING the modelled instalment (₹ cr)</t>
  </si>
  <si>
    <t xml:space="preserve">Running minimum, weeks 1..w</t>
  </si>
  <si>
    <t xml:space="preserve">Running minimum, weeks w..13</t>
  </si>
  <si>
    <t xml:space="preserve">A. Minimum closing cash (₹ cr) — instalment amount (rows) × week paid (columns). Red = below ₹40 bn floor</t>
  </si>
  <si>
    <t xml:space="preserve">Amount ↓  /  week paid →</t>
  </si>
  <si>
    <t xml:space="preserve">   (full FY27 instalment, ₹7,076 cr, paid in one go)</t>
  </si>
  <si>
    <t xml:space="preserve">B. Number of weeks below the floor (of 13)</t>
  </si>
  <si>
    <t xml:space="preserve">C. Largest single DoT payment that avoids ANY breach, by week paid (₹ cr). 0 = floor already breached before that week with no DoT payment</t>
  </si>
  <si>
    <t xml:space="preserve">Week paid →</t>
  </si>
  <si>
    <t xml:space="preserve">Break-even payment (₹ cr)</t>
  </si>
  <si>
    <t xml:space="preserve">Headroom vs floor in the tightest week with NO DoT payment at all (₹ cr)</t>
  </si>
  <si>
    <t xml:space="preserve">D. Opening-cash sensitivity at the modelled instalment (B5 is an estimate: Jun-26 ₹6,558 cr less ~₹750 cr)</t>
  </si>
  <si>
    <t xml:space="preserve">Opening cash (₹ cr)</t>
  </si>
  <si>
    <t xml:space="preserve">Min closing cash</t>
  </si>
  <si>
    <t xml:space="preserve">Weeks &lt; floor</t>
  </si>
  <si>
    <t xml:space="preserve">E. v3 CHECKS — TWCF COST BASE vs 3_PROJECTIONS, AND 13-WEEK CASH MARGIN vs REPORTED</t>
  </si>
  <si>
    <t xml:space="preserve">Cost line (% of revenue)</t>
  </si>
  <si>
    <t xml:space="preserve">TWCF</t>
  </si>
  <si>
    <t xml:space="preserve">3_Proj run-rate (C22:C27)</t>
  </si>
  <si>
    <t xml:space="preserve">Diff (pp)</t>
  </si>
  <si>
    <t xml:space="preserve">Status</t>
  </si>
  <si>
    <t xml:space="preserve">Network opex ex-lease (B15 + B16 vs 3_Proj C22)</t>
  </si>
  <si>
    <t xml:space="preserve">Licence fee &amp; SUC (B17 vs C23)</t>
  </si>
  <si>
    <t xml:space="preserve">Employee (B18 vs C24)</t>
  </si>
  <si>
    <t xml:space="preserve">SG&amp;A &amp; dealer commissions (B19 vs C25)</t>
  </si>
  <si>
    <t xml:space="preserve">Interconnect, roaming &amp; other (B20 vs C26)</t>
  </si>
  <si>
    <t xml:space="preserve">TOTAL cash operating cost ex-lease (vs C27)</t>
  </si>
  <si>
    <t xml:space="preserve">Memo: v2 TWCF network cost input (B15 + B16 = 11.0% + 6.0%)</t>
  </si>
  <si>
    <t xml:space="preserve">v2 value, memo only</t>
  </si>
  <si>
    <t xml:space="preserve">13-WEEK CASH MARGIN TIE-OUT</t>
  </si>
  <si>
    <t xml:space="preserve">TWCF 13-week net operating cash flow ÷ Q3 FY27E revenue (P54 / B8)</t>
  </si>
  <si>
    <t xml:space="preserve">   less reported Q1 FY27 cash EBITDA margin (CP B33 ÷ B31), in pp</t>
  </si>
  <si>
    <t xml:space="preserve">← reported cash EBITDA margin (₹2,475 cr / ₹11,689 cr)</t>
  </si>
  <si>
    <t xml:space="preserve">Tolerance (± pp) — MODEL ASSUMPTION</t>
  </si>
  <si>
    <t xml:space="preserve">   of which: collection-efficiency stress (B11 vs 100%), pp</t>
  </si>
  <si>
    <t xml:space="preserve">   of which: LF/SUC paid on Q2 revenue base (B9) vs Q3 (B8), pp</t>
  </si>
  <si>
    <t xml:space="preserve">   unexplained residual (rounding of reported margin), pp</t>
  </si>
  <si>
    <t xml:space="preserve">Memo: margin the v2 cost base (17.0% network) would have shown, pp vs reported</t>
  </si>
  <si>
    <t xml:space="preserve">← why the cost base was reconciled: v2 overstated 13-week cash generation</t>
  </si>
  <si>
    <t xml:space="preserve">2. CAPITAL STRUCTURE, RESTRUCTURING MECHANICS &amp; DEBT SCHEDULES</t>
  </si>
  <si>
    <t xml:space="preserve">₹ crore  |  Pre-restructuring stack → scenario haircuts / equity conversion → post-restructuring stack  |  Cash-pay vs PIK toggles  |  +200 bps default penalty trigger</t>
  </si>
  <si>
    <t xml:space="preserve">A. DEFAULT PENALTY TRIGGER LOGIC</t>
  </si>
  <si>
    <t xml:space="preserve">TWCF payment-default flag (closing cash &lt; 0)</t>
  </si>
  <si>
    <t xml:space="preserve">Scenario contractual default (standstill / CIRP)</t>
  </si>
  <si>
    <t xml:space="preserve">Manual override</t>
  </si>
  <si>
    <t xml:space="preserve">PENALTY ACTIVE (1/0) = MAX(above)</t>
  </si>
  <si>
    <t xml:space="preserve">Penalty applied (decimal)</t>
  </si>
  <si>
    <t xml:space="preserve">B. DEBT STACK — PRE- TO POST-RESTRUCTURING (IBC s.53 classification)</t>
  </si>
  <si>
    <t xml:space="preserve">Tranche / creditor</t>
  </si>
  <si>
    <t xml:space="preserve">IBC s.53 class</t>
  </si>
  <si>
    <t xml:space="preserve">Security / status</t>
  </si>
  <si>
    <t xml:space="preserve">Face (₹ cr)</t>
  </si>
  <si>
    <t xml:space="preserve">Base rate</t>
  </si>
  <si>
    <t xml:space="preserve">Penalty</t>
  </si>
  <si>
    <t xml:space="preserve">All-in rate</t>
  </si>
  <si>
    <t xml:space="preserve">Mode 1=Cash 2=PIK</t>
  </si>
  <si>
    <t xml:space="preserve">Annual interest</t>
  </si>
  <si>
    <t xml:space="preserve">Cash interest</t>
  </si>
  <si>
    <t xml:space="preserve">PIK accrual</t>
  </si>
  <si>
    <t xml:space="preserve">Haircut %</t>
  </si>
  <si>
    <t xml:space="preserve">Equity conv %</t>
  </si>
  <si>
    <t xml:space="preserve">Converted to equity</t>
  </si>
  <si>
    <t xml:space="preserve">Written off</t>
  </si>
  <si>
    <t xml:space="preserve">Post-deal balance</t>
  </si>
  <si>
    <t xml:space="preserve">Maturity ext (yrs)</t>
  </si>
  <si>
    <t xml:space="preserve">Treatment</t>
  </si>
  <si>
    <t xml:space="preserve">Statutory — Spectrum DPO (DoT)</t>
  </si>
  <si>
    <t xml:space="preserve">53(1)(e)/(f) Govt dues</t>
  </si>
  <si>
    <t xml:space="preserve">Unsecured statutory</t>
  </si>
  <si>
    <t xml:space="preserve">Plan A: equity swap + 4-yr moratorium + rate reset</t>
  </si>
  <si>
    <t xml:space="preserve">Statutory — AGR dues (nominal, DoT)</t>
  </si>
  <si>
    <t xml:space="preserve">Interest-free staggered FY27–FY41; Plan A partial swap</t>
  </si>
  <si>
    <t xml:space="preserve">Senior secured bank loans — SBI consortium (existing)</t>
  </si>
  <si>
    <t xml:space="preserve">53(1)(b) Secured FC</t>
  </si>
  <si>
    <t xml:space="preserve">First charge, pari passu</t>
  </si>
  <si>
    <t xml:space="preserve">Plan B haircut 35–50%; +5-yr extension</t>
  </si>
  <si>
    <t xml:space="preserve">SBI-led capex facility (pro forma new money, drawn)</t>
  </si>
  <si>
    <t xml:space="preserve">Pari passu first charge</t>
  </si>
  <si>
    <t xml:space="preserve">New money; drawn FY27; amortises from FY29</t>
  </si>
  <si>
    <t xml:space="preserve">Secured, debenture trustee</t>
  </si>
  <si>
    <t xml:space="preserve">Bullet FY29; Plan B 25% haircut</t>
  </si>
  <si>
    <t xml:space="preserve">Lease liabilities — Indus Towers &amp; other towercos</t>
  </si>
  <si>
    <t xml:space="preserve">53(1)(f) Operational</t>
  </si>
  <si>
    <t xml:space="preserve">Unsecured; Indus security pkg</t>
  </si>
  <si>
    <t xml:space="preserve">Ind AS 116; reinstated (critical supplier)</t>
  </si>
  <si>
    <t xml:space="preserve">Trade payables — Indus Towers (MSA)</t>
  </si>
  <si>
    <t xml:space="preserve">Unsecured</t>
  </si>
  <si>
    <t xml:space="preserve">Paid in full — critical vendor</t>
  </si>
  <si>
    <t xml:space="preserve">Trade payables — Ericsson / Nokia / Samsung</t>
  </si>
  <si>
    <t xml:space="preserve">Plan B 15% haircut / deferral</t>
  </si>
  <si>
    <t xml:space="preserve">Plan B 15% haircut</t>
  </si>
  <si>
    <t xml:space="preserve">Other liabilities &amp; provisions</t>
  </si>
  <si>
    <t xml:space="preserve">53(1)(f) Remaining</t>
  </si>
  <si>
    <t xml:space="preserve">Reinstated</t>
  </si>
  <si>
    <t xml:space="preserve">TOTAL CLAIMS (AGR at nominal)</t>
  </si>
  <si>
    <t xml:space="preserve">   of which statutory Government dues</t>
  </si>
  <si>
    <t xml:space="preserve">   of which funded financial debt (bank + SBI + NCD)</t>
  </si>
  <si>
    <t xml:space="preserve">   of which operational creditors (lease + trade + other)</t>
  </si>
  <si>
    <t xml:space="preserve">   Statutory dues as % of total claims</t>
  </si>
  <si>
    <t xml:space="preserve">   Haircut gain recognised (bank + NCD + vendors) — P&amp;L exceptional</t>
  </si>
  <si>
    <t xml:space="preserve">   Plan B bank haircut quantum vs total claims (materiality test)</t>
  </si>
  <si>
    <t xml:space="preserve">C. PRO FORMA OWNERSHIP &amp; DILUTION</t>
  </si>
  <si>
    <t xml:space="preserve">Crore shares</t>
  </si>
  <si>
    <t xml:space="preserve">% pre</t>
  </si>
  <si>
    <t xml:space="preserve">% post</t>
  </si>
  <si>
    <t xml:space="preserve">Shares outstanding — pre-deal</t>
  </si>
  <si>
    <t xml:space="preserve">   Government of India — existing</t>
  </si>
  <si>
    <t xml:space="preserve">   Promoters (ABG / Vodafone) &amp; public — existing</t>
  </si>
  <si>
    <t xml:space="preserve">New shares — statutory dues conversion (to Govt)</t>
  </si>
  <si>
    <t xml:space="preserve">New shares — new-money equity (promoters / QIP)</t>
  </si>
  <si>
    <t xml:space="preserve">Shares outstanding — post-deal (fully diluted)</t>
  </si>
  <si>
    <t xml:space="preserve">Government economic stake — post</t>
  </si>
  <si>
    <t xml:space="preserve">Government voting-stake cap</t>
  </si>
  <si>
    <t xml:space="preserve">Excess Govt shares to be issued as non-voting OCRPS (crore)</t>
  </si>
  <si>
    <t xml:space="preserve">Dilution to existing non-Govt holders (%)</t>
  </si>
  <si>
    <t xml:space="preserve">D. ANNUAL DEBT SCHEDULES (feed 3_Restructuring_Projections)</t>
  </si>
  <si>
    <t xml:space="preserve">Pre-deal</t>
  </si>
  <si>
    <t xml:space="preserve">FY27E</t>
  </si>
  <si>
    <t xml:space="preserve">FY28E</t>
  </si>
  <si>
    <t xml:space="preserve">FY29E</t>
  </si>
  <si>
    <t xml:space="preserve">FY30E</t>
  </si>
  <si>
    <t xml:space="preserve">FY31E</t>
  </si>
  <si>
    <t xml:space="preserve">Year index</t>
  </si>
  <si>
    <t xml:space="preserve">D1. Spectrum DPO — DoT (moratorium / Cash-vs-PIK logic)</t>
  </si>
  <si>
    <t xml:space="preserve">Contractual instalment (pre-deal schedule)</t>
  </si>
  <si>
    <t xml:space="preserve">Opening balance (post-conversion)</t>
  </si>
  <si>
    <t xml:space="preserve">Interest expense (opening × post-deal rate)</t>
  </si>
  <si>
    <t xml:space="preserve">Cash instalment paid</t>
  </si>
  <si>
    <t xml:space="preserve">   of which interest capitalised (PIK)</t>
  </si>
  <si>
    <t xml:space="preserve">Closing balance</t>
  </si>
  <si>
    <t xml:space="preserve">D2. AGR dues — book (carrying value accretes toward nominal)</t>
  </si>
  <si>
    <t xml:space="preserve">Opening carrying value (post-conversion)</t>
  </si>
  <si>
    <t xml:space="preserve">Accretion (non-cash unwind of discount)</t>
  </si>
  <si>
    <t xml:space="preserve">Closing carrying value</t>
  </si>
  <si>
    <t xml:space="preserve">Book value derecognised on conversion (to equity)</t>
  </si>
  <si>
    <t xml:space="preserve">Nominal claim outstanding (for IBC claims)</t>
  </si>
  <si>
    <t xml:space="preserve">AGR accretion rate (implied discount rate on back-ended schedule)</t>
  </si>
  <si>
    <t xml:space="preserve">D3. Senior secured bank loans — SBI consortium (existing)</t>
  </si>
  <si>
    <t xml:space="preserve">Opening balance (post-haircut)</t>
  </si>
  <si>
    <t xml:space="preserve">Interest (opening × all-in rate incl. penalty)</t>
  </si>
  <si>
    <t xml:space="preserve">PIK accrual (if mode = 2)</t>
  </si>
  <si>
    <t xml:space="preserve">Scheduled repayment (straight-line over 1 + extension yrs)</t>
  </si>
  <si>
    <t xml:space="preserve">D4. SBI-led capex facility — new money (pro forma)</t>
  </si>
  <si>
    <t xml:space="preserve">Opening balance</t>
  </si>
  <si>
    <t xml:space="preserve">Drawdown</t>
  </si>
  <si>
    <t xml:space="preserve">Interest ((opening + draw) × all-in rate)</t>
  </si>
  <si>
    <t xml:space="preserve">Repayment (from FY29 over 5 + extension yrs)</t>
  </si>
  <si>
    <t xml:space="preserve">D5. Non-convertible debentures</t>
  </si>
  <si>
    <t xml:space="preserve">Coupon (opening × all-in rate incl. penalty)</t>
  </si>
  <si>
    <t xml:space="preserve">Bullet repayment (FY29 + extension)</t>
  </si>
  <si>
    <t xml:space="preserve">Total statutory cash payments to DoT (spectrum + AGR)</t>
  </si>
  <si>
    <t xml:space="preserve">Pre-deal contractual DoT payments (for comparison)</t>
  </si>
  <si>
    <t xml:space="preserve">DoT cash deferral vs contractual schedule (FY27–31)</t>
  </si>
  <si>
    <t xml:space="preserve">D6. DoT CASH DEFERRAL — NPV, CARRY-FORWARD &amp; CLIFF TEST (v3: replaces the "cash relief" framing)</t>
  </si>
  <si>
    <t xml:space="preserve">Discount rate = post-deal spectrum all-in rate (G14)</t>
  </si>
  <si>
    <t xml:space="preserve">Discount factor (end-year)</t>
  </si>
  <si>
    <t xml:space="preserve">PV of DoT cash deferral by year (B94 = NPV, ₹ cr)</t>
  </si>
  <si>
    <t xml:space="preserve">Nominal deferral FY27–31 (sum of row 90)</t>
  </si>
  <si>
    <t xml:space="preserve">NPV ÷ nominal (%)</t>
  </si>
  <si>
    <t xml:space="preserve">MEMO — OBLIGATIONS CARRIED TO FY32+ (deferred, not forgiven)</t>
  </si>
  <si>
    <t xml:space="preserve">Spectrum DPO closing balance FY31 (H54)</t>
  </si>
  <si>
    <t xml:space="preserve">AGR closing balance FY31 — nominal (H62)</t>
  </si>
  <si>
    <t xml:space="preserve">AGR closing balance FY31 — carrying (H60)</t>
  </si>
  <si>
    <t xml:space="preserve">TOTAL carried to FY32+ (DPO + AGR nominal)</t>
  </si>
  <si>
    <t xml:space="preserve">   memo: DPO + AGR at carrying value</t>
  </si>
  <si>
    <t xml:space="preserve">CLIFF TEST — can FY31 earnings carry what falls due after the deferral?</t>
  </si>
  <si>
    <t xml:space="preserve">FY31 cash EBITDA (3_Proj H39)</t>
  </si>
  <si>
    <t xml:space="preserve">FY31 closing DPO + AGR (nominal) ÷ FY31 cash EBITDA (x)</t>
  </si>
  <si>
    <t xml:space="preserve">Horizon FY32–FY44 (years) — MODEL ASSUMPTION</t>
  </si>
  <si>
    <t xml:space="preserve">Implied annual instalment — straight-line (₹ cr)</t>
  </si>
  <si>
    <t xml:space="preserve">Implied annual instalment — level annuity (₹ cr)</t>
  </si>
  <si>
    <t xml:space="preserve">   annuity instalment ÷ FY31 cash EBITDA (%)</t>
  </si>
  <si>
    <t xml:space="preserve">FY31 cash EBITDA less capex (3_Proj H39 − H61)</t>
  </si>
  <si>
    <t xml:space="preserve">   annuity instalment ÷ (cash EBITDA − capex) (%)</t>
  </si>
  <si>
    <t xml:space="preserve">Flag thresholds: WATCH / CLIFF — MODEL ASSUMPTION</t>
  </si>
  <si>
    <t xml:space="preserve">Cliff flag</t>
  </si>
  <si>
    <t xml:space="preserve">Deferral is not forgiveness: the carried balance accrues at the post-deal rate (PIK during the moratorium) and must be paid or refinanced after FY31. This is a screen only — it ignores the AGR schedule (₹100 cr p.a. FY32–35, then six equal instalments FY36–41 per the v2 note on 0_Control_Panel F47) and any further relief.</t>
  </si>
  <si>
    <t xml:space="preserve">The permanent relief in Plan A is the equity conversion (row 25, col N), not the deferral. NPV of deferral is shown at the post-deal rate, so it measures time value only.</t>
  </si>
  <si>
    <t xml:space="preserve">3. FIVE-YEAR INTEGRATED 3-STATEMENT PROJECTIONS (FY27E–FY31E) + GOING-CONCERN DCF</t>
  </si>
  <si>
    <t xml:space="preserve">₹ crore  |  Opening column = Q1 FY27 annualised run-rate / pro forma opening balance sheet  |  Fiscal year ending 31-March  |  Liquidity facility auto-draws to hold minimum cash</t>
  </si>
  <si>
    <t xml:space="preserve">₹ crore</t>
  </si>
  <si>
    <t xml:space="preserve">Driver</t>
  </si>
  <si>
    <t xml:space="preserve">Run-rate / Open</t>
  </si>
  <si>
    <t xml:space="preserve">OPERATING DRIVERS</t>
  </si>
  <si>
    <t xml:space="preserve">Monthly churn</t>
  </si>
  <si>
    <t xml:space="preserve">Driver col = annual reduction in monthly churn (pp) when switch on; floor below.</t>
  </si>
  <si>
    <t xml:space="preserve">Monthly churn floor</t>
  </si>
  <si>
    <t xml:space="preserve">Monthly gross-add rate (% of opening base)</t>
  </si>
  <si>
    <t xml:space="preserve">Subscribers — opening (mn)</t>
  </si>
  <si>
    <t xml:space="preserve">Net adds (mn)</t>
  </si>
  <si>
    <t xml:space="preserve">Subscribers — closing (mn)</t>
  </si>
  <si>
    <t xml:space="preserve">Average subscribers (mn)</t>
  </si>
  <si>
    <t xml:space="preserve">ARPU growth (active case)</t>
  </si>
  <si>
    <t xml:space="preserve">5G ARPU premium</t>
  </si>
  <si>
    <t xml:space="preserve">ARPU (₹/month)</t>
  </si>
  <si>
    <t xml:space="preserve">Mobile service revenue</t>
  </si>
  <si>
    <t xml:space="preserve">mn subs × ₹/month × 12 ÷ 10 = ₹ crore</t>
  </si>
  <si>
    <t xml:space="preserve">Other revenue (enterprise, M2M, wholesale) — % of mobile</t>
  </si>
  <si>
    <t xml:space="preserve">TOTAL REVENUE</t>
  </si>
  <si>
    <t xml:space="preserve">Run-rate = Q1 FY27 × 4 = ₹46,756 cr</t>
  </si>
  <si>
    <t xml:space="preserve">Revenue growth</t>
  </si>
  <si>
    <t xml:space="preserve">COST STRUCTURE (% of revenue)  — driver column = annual rationalisation step if switch on</t>
  </si>
  <si>
    <t xml:space="preserve">Network opex ex-lease (power, fuel, O&amp;M)</t>
  </si>
  <si>
    <t xml:space="preserve">Licence fee &amp; SUC</t>
  </si>
  <si>
    <t xml:space="preserve">Employee</t>
  </si>
  <si>
    <t xml:space="preserve">SG&amp;A &amp; customer acquisition</t>
  </si>
  <si>
    <t xml:space="preserve">Total opex % (ex-lease)</t>
  </si>
  <si>
    <t xml:space="preserve">INCOME STATEMENT</t>
  </si>
  <si>
    <t xml:space="preserve">Revenue</t>
  </si>
  <si>
    <t xml:space="preserve">Network opex</t>
  </si>
  <si>
    <t xml:space="preserve">SG&amp;A</t>
  </si>
  <si>
    <t xml:space="preserve">Interconnect &amp; other</t>
  </si>
  <si>
    <t xml:space="preserve">EBITDA (Ind AS 116)</t>
  </si>
  <si>
    <t xml:space="preserve">Check: run-rate ≈ ₹5,034 cr × 4</t>
  </si>
  <si>
    <t xml:space="preserve">EBITDA margin</t>
  </si>
  <si>
    <t xml:space="preserve">Lease-rental growth (sites; +5G densification if on)</t>
  </si>
  <si>
    <t xml:space="preserve">Lease rentals paid (Indus Towers &amp; others)</t>
  </si>
  <si>
    <t xml:space="preserve">CASH EBITDA (EBITDA − lease rentals)</t>
  </si>
  <si>
    <t xml:space="preserve">Run-rate ≈ ₹2,475 cr × 4. Management targets ~3x in three years.</t>
  </si>
  <si>
    <t xml:space="preserve">Depreciation — PP&amp;E</t>
  </si>
  <si>
    <t xml:space="preserve">Amortisation — spectrum &amp; intangibles</t>
  </si>
  <si>
    <t xml:space="preserve">Depreciation — right-of-use</t>
  </si>
  <si>
    <t xml:space="preserve">EBIT</t>
  </si>
  <si>
    <t xml:space="preserve">Interest — spectrum DPO</t>
  </si>
  <si>
    <t xml:space="preserve">Accretion — AGR (non-cash)</t>
  </si>
  <si>
    <t xml:space="preserve">Interest — lease liabilities</t>
  </si>
  <si>
    <t xml:space="preserve">Interest — bank (existing)</t>
  </si>
  <si>
    <t xml:space="preserve">Interest — SBI facility</t>
  </si>
  <si>
    <t xml:space="preserve">Interest — NCDs</t>
  </si>
  <si>
    <t xml:space="preserve">Interest — liquidity facility (on opening)</t>
  </si>
  <si>
    <t xml:space="preserve">Interest income on cash (on opening)</t>
  </si>
  <si>
    <t xml:space="preserve">Exceptional — gain on debt/payables haircut</t>
  </si>
  <si>
    <t xml:space="preserve">Exceptional — restructuring / CIRP costs</t>
  </si>
  <si>
    <t xml:space="preserve">Profit / (loss) before tax</t>
  </si>
  <si>
    <t xml:space="preserve">Tax — NOL shield active (1 = no cash tax)</t>
  </si>
  <si>
    <t xml:space="preserve">Tax expense (25.17% if NOL exhausted)</t>
  </si>
  <si>
    <t xml:space="preserve">NET INCOME / (LOSS)</t>
  </si>
  <si>
    <t xml:space="preserve">CAPEX</t>
  </si>
  <si>
    <t xml:space="preserve">4G coverage &amp; capacity capex</t>
  </si>
  <si>
    <t xml:space="preserve">5G rollout capex (× switch × intensity)</t>
  </si>
  <si>
    <t xml:space="preserve">Total capex</t>
  </si>
  <si>
    <t xml:space="preserve">FY27–29 base ≈ ₹47,000 cr vs ₹45,000 cr guidance</t>
  </si>
  <si>
    <t xml:space="preserve">Capex / revenue</t>
  </si>
  <si>
    <t xml:space="preserve">BALANCE SHEET</t>
  </si>
  <si>
    <t xml:space="preserve">Cash &amp; bank</t>
  </si>
  <si>
    <t xml:space="preserve">Trade receivables (days of revenue)</t>
  </si>
  <si>
    <t xml:space="preserve">Other current assets (% revenue)</t>
  </si>
  <si>
    <t xml:space="preserve">Net PP&amp;E</t>
  </si>
  <si>
    <t xml:space="preserve">Spectrum &amp; intangibles</t>
  </si>
  <si>
    <t xml:space="preserve">Right-of-use assets</t>
  </si>
  <si>
    <t xml:space="preserve">TOTAL ASSETS</t>
  </si>
  <si>
    <t xml:space="preserve">Spectrum DPO</t>
  </si>
  <si>
    <t xml:space="preserve">AGR DPO (carrying)</t>
  </si>
  <si>
    <t xml:space="preserve">Bank loans (existing)</t>
  </si>
  <si>
    <t xml:space="preserve">SBI-led facility</t>
  </si>
  <si>
    <t xml:space="preserve">NCDs</t>
  </si>
  <si>
    <t xml:space="preserve">Liquidity facility (auto-draw)</t>
  </si>
  <si>
    <t xml:space="preserve">Lease liabilities</t>
  </si>
  <si>
    <t xml:space="preserve">Trade payables (% of opex + capex)</t>
  </si>
  <si>
    <t xml:space="preserve">TOTAL LIABILITIES</t>
  </si>
  <si>
    <t xml:space="preserve">Shareholders' equity / (deficit)</t>
  </si>
  <si>
    <t xml:space="preserve">TOTAL LIABILITIES + EQUITY</t>
  </si>
  <si>
    <t xml:space="preserve">BALANCE CHECK (must be zero)</t>
  </si>
  <si>
    <t xml:space="preserve">CASH FLOW STATEMENT</t>
  </si>
  <si>
    <t xml:space="preserve">Net income</t>
  </si>
  <si>
    <t xml:space="preserve">+ D&amp;A</t>
  </si>
  <si>
    <t xml:space="preserve">+ Non-cash interest (spectrum, AGR accretion, lease, PIK)</t>
  </si>
  <si>
    <t xml:space="preserve">− Non-cash haircut gain</t>
  </si>
  <si>
    <t xml:space="preserve">± Working capital (receivables, OCA, payables ex-haircut)</t>
  </si>
  <si>
    <t xml:space="preserve">CASH FLOW FROM OPERATIONS</t>
  </si>
  <si>
    <t xml:space="preserve">Capex</t>
  </si>
  <si>
    <t xml:space="preserve">Spectrum DPO instalments (DoT)</t>
  </si>
  <si>
    <t xml:space="preserve">AGR instalments (DoT)</t>
  </si>
  <si>
    <t xml:space="preserve">Lease rentals (principal + interest)</t>
  </si>
  <si>
    <t xml:space="preserve">SBI facility drawdown</t>
  </si>
  <si>
    <t xml:space="preserve">Debt repayments (bank, SBI, NCD)</t>
  </si>
  <si>
    <t xml:space="preserve">New-money equity + asset-sale proceeds (FY27)</t>
  </si>
  <si>
    <t xml:space="preserve">CASH FLOW FROM FINANCING (pre-liquidity facility)</t>
  </si>
  <si>
    <t xml:space="preserve">Cash before liquidity facility</t>
  </si>
  <si>
    <t xml:space="preserve">Minimum cash balance</t>
  </si>
  <si>
    <t xml:space="preserve">LIQUIDITY FACILITY DRAW REQUIRED</t>
  </si>
  <si>
    <t xml:space="preserve">Memo: equity from dues conversion (non-cash)</t>
  </si>
  <si>
    <t xml:space="preserve">Memo: new-money equity</t>
  </si>
  <si>
    <t xml:space="preserve">Memo: lease additions (non-cash; principal replacement + site growth)</t>
  </si>
  <si>
    <t xml:space="preserve">CREDIT METRICS</t>
  </si>
  <si>
    <t xml:space="preserve">Net funded debt (bank + SBI + NCD + liquidity − cash)</t>
  </si>
  <si>
    <t xml:space="preserve">Net funded debt / cash EBITDA (x)</t>
  </si>
  <si>
    <t xml:space="preserve">Total net obligations incl. DoT dues / cash EBITDA (x)</t>
  </si>
  <si>
    <t xml:space="preserve">DSCR = (cash EBITDA − capex) / (DoT + debt service)</t>
  </si>
  <si>
    <t xml:space="preserve">Cumulative liquidity facility required</t>
  </si>
  <si>
    <t xml:space="preserve">GOING-CONCERN DCF (unlevered, cash-EBITDA basis; spectrum &amp; AGR treated as debt-like claims)</t>
  </si>
  <si>
    <t xml:space="preserve">WACC</t>
  </si>
  <si>
    <t xml:space="preserve">India telecom: Rf 6.6% + β 1.3 × ERP 7.0% + distress premium; Kd 10.5%.</t>
  </si>
  <si>
    <t xml:space="preserve">Exit EV / cash EBITDA multiple (x)</t>
  </si>
  <si>
    <t xml:space="preserve">Discount to Bharti/Jio (~11–13x Ind AS EBITDA) for #3 scale &amp; execution risk.</t>
  </si>
  <si>
    <t xml:space="preserve">Terminal growth (Gordon cross-check)</t>
  </si>
  <si>
    <t xml:space="preserve">Unlevered FCF = cash EBITDA − cash tax − capex ± WC</t>
  </si>
  <si>
    <t xml:space="preserve">Discount factor (mid-year)</t>
  </si>
  <si>
    <t xml:space="preserve">PV of UFCF</t>
  </si>
  <si>
    <t xml:space="preserve">Terminal value — exit multiple (FY31)</t>
  </si>
  <si>
    <t xml:space="preserve">PV of terminal value</t>
  </si>
  <si>
    <t xml:space="preserve">ENTERPRISE VALUE (going concern)</t>
  </si>
  <si>
    <t xml:space="preserve">EV — Gordon growth cross-check</t>
  </si>
  <si>
    <t xml:space="preserve">Implied EV / run-rate cash EBITDA (x)</t>
  </si>
  <si>
    <t xml:space="preserve">Less: deductions ranking ahead of Govt — ACTIVE treatment (debt-like items, new SBI facility, new-equity holders; see bridge rows 131-152)</t>
  </si>
  <si>
    <t xml:space="preserve">Plus: cash — existing + new-money + asset-sale proceeds (ACTIVE treatment)</t>
  </si>
  <si>
    <t xml:space="preserve">Value available to Government (statutory dues) &amp; equity — ACTIVE</t>
  </si>
  <si>
    <t xml:space="preserve">Carrying basis</t>
  </si>
  <si>
    <t xml:space="preserve">Statutory claims at nominal (spectrum DPO + AGR)</t>
  </si>
  <si>
    <t xml:space="preserve">GOVERNMENT RECOVERY — going concern (% of nominal) — ACTIVE treatment; see range in C151:C152</t>
  </si>
  <si>
    <t xml:space="preserve">Implied equity value after all claims at nominal</t>
  </si>
  <si>
    <t xml:space="preserve">VALUATION BRIDGE — THREE TREATMENTS (switch: 0_Control_Panel!B23). Leases are ALREADY in cash-EBITDA FCF (rentals deducted), so deducting lease liabilities again double-counts.</t>
  </si>
  <si>
    <t xml:space="preserve">Basis / why</t>
  </si>
  <si>
    <t xml:space="preserve">Strict</t>
  </si>
  <si>
    <t xml:space="preserve">Middle</t>
  </si>
  <si>
    <t xml:space="preserve">Conservative</t>
  </si>
  <si>
    <t xml:space="preserve">Enterprise value — DCF, exit multiple</t>
  </si>
  <si>
    <t xml:space="preserve">Cash-EBITDA FCF: after tower/lease rentals, capex and WC</t>
  </si>
  <si>
    <t xml:space="preserve">Plus: asset-sale proceeds</t>
  </si>
  <si>
    <t xml:space="preserve">Non-operating; 0 unless Plan D input set</t>
  </si>
  <si>
    <t xml:space="preserve">Plus: existing cash (30-Jun-26)</t>
  </si>
  <si>
    <t xml:space="preserve">Q1 FY27 reported</t>
  </si>
  <si>
    <t xml:space="preserve">Plus: new-money cash — SBI facility drawn</t>
  </si>
  <si>
    <t xml:space="preserve">Cash in at close</t>
  </si>
  <si>
    <t xml:space="preserve">Plus: new-money cash — equity</t>
  </si>
  <si>
    <t xml:space="preserve">Less: SBI-led facility (new, first charge)</t>
  </si>
  <si>
    <t xml:space="preserve">Senior debt-like claim</t>
  </si>
  <si>
    <t xml:space="preserve">Less: new-money equity at issue price</t>
  </si>
  <si>
    <t xml:space="preserve">Cash belongs to new holders; not Govt recovery</t>
  </si>
  <si>
    <t xml:space="preserve">Less: bank loans (post-deal)</t>
  </si>
  <si>
    <t xml:space="preserve">Funded debt</t>
  </si>
  <si>
    <t xml:space="preserve">Less: NCDs (post-deal)</t>
  </si>
  <si>
    <t xml:space="preserve">Less: trade payables</t>
  </si>
  <si>
    <t xml:space="preserve">Treated as stretched / debt-like (≈122 days of cash costs in model)</t>
  </si>
  <si>
    <t xml:space="preserve">Less: lease liabilities</t>
  </si>
  <si>
    <t xml:space="preserve">DOUBLE-COUNT: rentals already in FCF — Conservative only, as a stress</t>
  </si>
  <si>
    <t xml:space="preserve">Less: other liabilities &amp; provisions</t>
  </si>
  <si>
    <t xml:space="preserve">MODEL-ESTIMATE PLUG (deferred revenue etc.) — Conservative only</t>
  </si>
  <si>
    <t xml:space="preserve">Less: minimum operating cash (trapped)</t>
  </si>
  <si>
    <t xml:space="preserve">₹40 bn board floor is not distributable</t>
  </si>
  <si>
    <t xml:space="preserve">Value available to Government &amp; equity (sum)</t>
  </si>
  <si>
    <t xml:space="preserve">GOVERNMENT RECOVERY — going concern</t>
  </si>
  <si>
    <t xml:space="preserve">Memo: v1 bridge (double-counts leases; omits SBI facility &amp; new money)</t>
  </si>
  <si>
    <t xml:space="preserve">Government recovery RANGE — low (min of three treatments)</t>
  </si>
  <si>
    <t xml:space="preserve">Government recovery RANGE — high (max of three treatments)</t>
  </si>
  <si>
    <t xml:space="preserve">Check: ACTIVE column ties to C127 / C129 (must be 0)</t>
  </si>
  <si>
    <t xml:space="preserve">TERMINAL-VALUE SENSITIVITY — EXIT MULTIPLE × WACC (TV is ~93% of base EV; grid centre = B113 / B114 and must equal C121)</t>
  </si>
  <si>
    <t xml:space="preserve">Grid steps — WACC step / exit-multiple step</t>
  </si>
  <si>
    <t xml:space="preserve">A. Enterprise value (₹ cr)</t>
  </si>
  <si>
    <t xml:space="preserve">Exit multiple ↓  /  WACC →</t>
  </si>
  <si>
    <t xml:space="preserve">B. Government recovery — going concern, ACTIVE bridge treatment (%)</t>
  </si>
  <si>
    <t xml:space="preserve">C. Terminal value as % of EV</t>
  </si>
  <si>
    <t xml:space="preserve">D. EV ÷ liquidation proceeds (x)</t>
  </si>
  <si>
    <t xml:space="preserve">Check: grid centre − C121 (must be 0)</t>
  </si>
  <si>
    <t xml:space="preserve">WACC CROSS-CHECK — the memo quotes Rf, beta, ERP and Kd but no capital weights, so 13.5% cannot be rebuilt from them; it is a judgement input.</t>
  </si>
  <si>
    <t xml:space="preserve">Risk-free rate</t>
  </si>
  <si>
    <t xml:space="preserve">Memo p.12 (Rf 6.6%)</t>
  </si>
  <si>
    <t xml:space="preserve">Equity beta</t>
  </si>
  <si>
    <t xml:space="preserve">Memo p.12 (β 1.3)</t>
  </si>
  <si>
    <t xml:space="preserve">Equity risk premium</t>
  </si>
  <si>
    <t xml:space="preserve">Memo p.12 (ERP 7.0%)</t>
  </si>
  <si>
    <t xml:space="preserve">CAPM cost of equity (before any distress premium)</t>
  </si>
  <si>
    <t xml:space="preserve">Pre-tax cost of debt</t>
  </si>
  <si>
    <t xml:space="preserve">Memo p.12 (Kd 10.5%)</t>
  </si>
  <si>
    <t xml:space="preserve">Tax shield on debt (NOLs → no cash tax)</t>
  </si>
  <si>
    <t xml:space="preserve">Model: NOL shield active (B55)</t>
  </si>
  <si>
    <t xml:space="preserve">WACC used in DCF (B113)</t>
  </si>
  <si>
    <t xml:space="preserve">Implied debt weight D/(D+E) needed to reach WACC, with NO distress premium</t>
  </si>
  <si>
    <t xml:space="preserve">If the true weight is lower, or a distress premium is added, WACC &gt; 13.5% — see grid A/B (right-hand columns).</t>
  </si>
  <si>
    <t xml:space="preserve">4. LIQUIDATION ANALYSIS — ASSET RECOVERY &amp; IBC SECTION 53 DISTRIBUTION WATERFALL</t>
  </si>
  <si>
    <t xml:space="preserve">₹ crore  |  Liquidation commencement assumed at end of 13-week window  |  Statutory hierarchy per Insolvency and Bankruptcy Code, 2016, s.53(1)(a)–(h)</t>
  </si>
  <si>
    <t xml:space="preserve">A. SWITCHES</t>
  </si>
  <si>
    <t xml:space="preserve">Recovery case (1 = Low, 2 = Mid, 3 = High)</t>
  </si>
  <si>
    <t xml:space="preserve">Mid used for memo.</t>
  </si>
  <si>
    <t xml:space="preserve">Spectrum right-to-use included in liquidation estate (1/0)</t>
  </si>
  <si>
    <t xml:space="preserve">Legally contested: DoT position is that spectrum is a sovereign resource; Aircel/RCom CIRPs show transfer is conditional on clearing DoT dues.</t>
  </si>
  <si>
    <t xml:space="preserve">Treat Govt dues as secured — Rainbow Papers (SC, 2022) sensitivity (1/0)</t>
  </si>
  <si>
    <t xml:space="preserve">If 1, statutory dues rank pari passu with secured creditors in s.53(1)(b).</t>
  </si>
  <si>
    <t xml:space="preserve">Include pro forma SBI facility in secured claims (1/0)</t>
  </si>
  <si>
    <t xml:space="preserve">v3 default 0 for the "today" comparison: the ₹15,000 cr pro forma SBI facility is not drawn today, and v2 counted it as a secured claim with no matching asset (understating the Govt recovery). Set 1 for the failure-after-drawdown case. Both Govt recoveries are shown live in block F below (rows 55-75).</t>
  </si>
  <si>
    <t xml:space="preserve">B. ASSET-BY-ASSET RECOVERY SCHEDULE</t>
  </si>
  <si>
    <t xml:space="preserve">Asset</t>
  </si>
  <si>
    <t xml:space="preserve">Book value</t>
  </si>
  <si>
    <t xml:space="preserve">Low %</t>
  </si>
  <si>
    <t xml:space="preserve">Mid %</t>
  </si>
  <si>
    <t xml:space="preserve">High %</t>
  </si>
  <si>
    <t xml:space="preserve">Selected %</t>
  </si>
  <si>
    <t xml:space="preserve">Proceeds</t>
  </si>
  <si>
    <t xml:space="preserve">Recovery rationale</t>
  </si>
  <si>
    <t xml:space="preserve">Spectrum right-to-use (all bands, incl. 5G 3.3 GHz / 26 GHz)</t>
  </si>
  <si>
    <t xml:space="preserve">Forced sale to Jio/Airtel only (two bidders); DoT may cancel licence/reclaim; buyer assumes DoT dues.</t>
  </si>
  <si>
    <t xml:space="preserve">Network PP&amp;E (RAN, microwave, fibre, core)</t>
  </si>
  <si>
    <t xml:space="preserve">Vendor-locked radio equipment; scrap/redeploy value; fibre sells better.</t>
  </si>
  <si>
    <t xml:space="preserve">Right-of-use assets (tower leases)</t>
  </si>
  <si>
    <t xml:space="preserve">Leases terminate on liquidation; Indus re-lets tenancy.</t>
  </si>
  <si>
    <t xml:space="preserve">Cash (min of 13-week TWCF, floored at nil)</t>
  </si>
  <si>
    <t xml:space="preserve">Encumbrance-free cash at liquidation commencement.</t>
  </si>
  <si>
    <t xml:space="preserve">Enterprise receivables; prepaid has none.</t>
  </si>
  <si>
    <t xml:space="preserve">Other current assets (GST input credits, deposits, refunds)</t>
  </si>
  <si>
    <t xml:space="preserve">GST ITC monetisable only partially; refunds slow.</t>
  </si>
  <si>
    <t xml:space="preserve">GROSS LIQUIDATION PROCEEDS</t>
  </si>
  <si>
    <t xml:space="preserve">   Low / High proceeds (memo)</t>
  </si>
  <si>
    <t xml:space="preserve">C. IBC SECTION 53 DISTRIBUTION WATERFALL</t>
  </si>
  <si>
    <t xml:space="preserve">Priority tier</t>
  </si>
  <si>
    <t xml:space="preserve">Claim</t>
  </si>
  <si>
    <t xml:space="preserve">Available</t>
  </si>
  <si>
    <t xml:space="preserve">Recovered</t>
  </si>
  <si>
    <t xml:space="preserve">Recovery %</t>
  </si>
  <si>
    <t xml:space="preserve">Shortfall</t>
  </si>
  <si>
    <t xml:space="preserve">Composition / legal basis</t>
  </si>
  <si>
    <t xml:space="preserve">Inputs: workmen dues (24 months)</t>
  </si>
  <si>
    <t xml:space="preserve">Inputs: employee wages (12 months, non-workmen)</t>
  </si>
  <si>
    <t xml:space="preserve">Inputs: Govt dues falling in 2 yrs preceding (s.53(1)(e)) — calc</t>
  </si>
  <si>
    <t xml:space="preserve">Inputs: total statutory Govt claims (spectrum DPO + AGR nominal)</t>
  </si>
  <si>
    <t xml:space="preserve">Inputs: secured financial creditors (bank + NCD + SBI pro forma)</t>
  </si>
  <si>
    <t xml:space="preserve">SBI pro forma drawn at Plan A draw % (failure after drawdown).</t>
  </si>
  <si>
    <t xml:space="preserve">Inputs: operational creditors (lease + trade + other)</t>
  </si>
  <si>
    <t xml:space="preserve">s.53(1)(a) — CIRP &amp; liquidation costs</t>
  </si>
  <si>
    <t xml:space="preserve">IRP/RP &amp; liquidator fees, interim finance, asset preservation.</t>
  </si>
  <si>
    <t xml:space="preserve">s.53(1)(b) — Workmen (24m) + secured creditors relinquishing security</t>
  </si>
  <si>
    <t xml:space="preserve">Bank, NCD, SBI facility pari passu with workmen; + Govt if Rainbow switch.</t>
  </si>
  <si>
    <t xml:space="preserve">s.53(1)(c) — Employee wages (12 months)</t>
  </si>
  <si>
    <t xml:space="preserve">s.53(1)(d) — Unsecured financial creditors</t>
  </si>
  <si>
    <t xml:space="preserve">None material.</t>
  </si>
  <si>
    <t xml:space="preserve">s.53(1)(e) — Govt dues (2 yrs preceding) + secured unpaid post-enforcement</t>
  </si>
  <si>
    <t xml:space="preserve">Spectrum FY27–28 instalments, AGR, current LF/SUC.</t>
  </si>
  <si>
    <t xml:space="preserve">s.53(1)(f) — Remaining debts &amp; dues (balance Govt + operational creditors)</t>
  </si>
  <si>
    <t xml:space="preserve">Indus Towers, Ericsson/Nokia/Samsung, lease claims, balance DoT dues.</t>
  </si>
  <si>
    <t xml:space="preserve">s.53(1)(g)–(h) — Preference &amp; equity shareholders</t>
  </si>
  <si>
    <t xml:space="preserve">Residual only.</t>
  </si>
  <si>
    <t xml:space="preserve">TOTAL</t>
  </si>
  <si>
    <t xml:space="preserve">D. RECOVERY BY CREDITOR CLASS — LIQUIDATION vs GOING CONCERN</t>
  </si>
  <si>
    <t xml:space="preserve">Creditor class</t>
  </si>
  <si>
    <t xml:space="preserve">Liquidation ₹</t>
  </si>
  <si>
    <t xml:space="preserve">Liquidation %</t>
  </si>
  <si>
    <t xml:space="preserve">Plan A (GC) %</t>
  </si>
  <si>
    <t xml:space="preserve">Plan B %</t>
  </si>
  <si>
    <t xml:space="preserve">Δ Plan A vs Liq (pp)</t>
  </si>
  <si>
    <t xml:space="preserve">Comment</t>
  </si>
  <si>
    <t xml:space="preserve">Secured financial creditors (SBI consortium, NCD holders)</t>
  </si>
  <si>
    <t xml:space="preserve">Government of India — DoT statutory dues</t>
  </si>
  <si>
    <t xml:space="preserve">The fulcrum creditor: GC value accrues overwhelmingly to the Govt.</t>
  </si>
  <si>
    <t xml:space="preserve">Indus Towers (lease + MSA payables)</t>
  </si>
  <si>
    <t xml:space="preserve">Critical supplier; paid in full in GC plans.</t>
  </si>
  <si>
    <t xml:space="preserve">Network vendors (Ericsson / Nokia / Samsung)</t>
  </si>
  <si>
    <t xml:space="preserve">Other operational creditors &amp; provisions</t>
  </si>
  <si>
    <t xml:space="preserve">E. BANK HAIRCUT SENSITIVITY — PLAN B vs LIQUIDATION (IBC s.30(2)(b) liquidation-value floor test)</t>
  </si>
  <si>
    <t xml:space="preserve">Bank / NCD haircut</t>
  </si>
  <si>
    <t xml:space="preserve">Recovery ₹ (bank+NCD)</t>
  </si>
  <si>
    <t xml:space="preserve">Passes s.30(2)(b)?</t>
  </si>
  <si>
    <t xml:space="preserve">Interpretation</t>
  </si>
  <si>
    <t xml:space="preserve">A 35–50% bank haircut is economically irrational for lenders when s.53 liquidation recovery is ~100%.</t>
  </si>
  <si>
    <t xml:space="preserve">Legal note (v2): s.30(2)(b) binds a CIRP resolution plan. It does NOT bind an out-of-court ICA, so the Plan B test above shows the lenders' BATNA (100% in liquidation), not a statutory bar. Verify current RBI framework (2019 directions may have been superseded).</t>
  </si>
  <si>
    <t xml:space="preserve">F. GOVT LIQUIDATION RECOVERY — BOTH SBI-FACILITY TREATMENTS (live; v3). Same asset proceeds in B and C; D adds the matching cash.</t>
  </si>
  <si>
    <t xml:space="preserve">SBI EXCLUDED (today)</t>
  </si>
  <si>
    <t xml:space="preserve">SBI INCLUDED, no matching asset</t>
  </si>
  <si>
    <t xml:space="preserve">SBI INCLUDED + matching cash held</t>
  </si>
  <si>
    <t xml:space="preserve">Secured financial claims (bank + NCD [+ SBI facility])</t>
  </si>
  <si>
    <t xml:space="preserve">Gross liquidation proceeds</t>
  </si>
  <si>
    <t xml:space="preserve">s.53(1)(a) costs paid</t>
  </si>
  <si>
    <t xml:space="preserve">Available for s.53(1)(b)</t>
  </si>
  <si>
    <t xml:space="preserve">s.53(1)(b) claim (workmen + secured [+ Govt if Rainbow, B7])</t>
  </si>
  <si>
    <t xml:space="preserve">s.53(1)(b) paid</t>
  </si>
  <si>
    <t xml:space="preserve">Secured recovery (%)</t>
  </si>
  <si>
    <t xml:space="preserve">Available after (b)</t>
  </si>
  <si>
    <t xml:space="preserve">s.53(1)(c) wages paid</t>
  </si>
  <si>
    <t xml:space="preserve">Available for (d)-(e)</t>
  </si>
  <si>
    <t xml:space="preserve">s.53(1)(e) Govt dues (2 yrs) paid</t>
  </si>
  <si>
    <t xml:space="preserve">Available for (f)</t>
  </si>
  <si>
    <t xml:space="preserve">s.53(1)(f) claim</t>
  </si>
  <si>
    <t xml:space="preserve">s.53(1)(f) paid</t>
  </si>
  <si>
    <t xml:space="preserve">Tier (f) recovery (%)</t>
  </si>
  <si>
    <t xml:space="preserve">GOVT LIQUIDATION RECOVERY (₹ cr)</t>
  </si>
  <si>
    <t xml:space="preserve">GOVT LIQUIDATION RECOVERY (%)</t>
  </si>
  <si>
    <t xml:space="preserve">Check: active column (B8) ties to D42 (must be 0)</t>
  </si>
  <si>
    <t xml:space="preserve">With the facility counted but no asset behind it (col C) secured claims rise by the drawn amount with no matching proceeds, which lowers the Govt recovery; column D (matching cash held) returns it to column B because assets and claims rise together. Cash raised and then spent on capex would sit between B and C.</t>
  </si>
  <si>
    <t xml:space="preserve">MODEL LOGIC MAP — KEY CELLS, FORMULAS &amp; FLOW (v3)</t>
  </si>
  <si>
    <t xml:space="preserve">Read with the Control Panel and 6_Reconciliations R7 (change log). Formulas shown as written in the workbook.</t>
  </si>
  <si>
    <t xml:space="preserve">Sheet</t>
  </si>
  <si>
    <t xml:space="preserve">Key cell</t>
  </si>
  <si>
    <t xml:space="preserve">Logic</t>
  </si>
  <si>
    <t xml:space="preserve">Control Panel</t>
  </si>
  <si>
    <t xml:space="preserve">0_Control_Panel!$B$5</t>
  </si>
  <si>
    <t xml:space="preserve">Master scenario switch (1 = Plan A, 2 = Plan B, 3 = Plan C, 4 = Plan D). Matrix column E = CHOOSE($B$5, B, C, D, F) — Plan D sits in column F.</t>
  </si>
  <si>
    <t xml:space="preserve">0_Control_Panel!$E$71</t>
  </si>
  <si>
    <t xml:space="preserve">Conversion price = MAX(CHOOSE(scenario), par ₹10) — par floor under Companies Act s.53.</t>
  </si>
  <si>
    <t xml:space="preserve">0_Control_Panel!$B$15</t>
  </si>
  <si>
    <t xml:space="preserve">Active ARPU growth = CHOOSE(ARPU case, Low, Base, High).</t>
  </si>
  <si>
    <t xml:space="preserve">1_TWCF_13_Week_Liquidity!$B$11</t>
  </si>
  <si>
    <t xml:space="preserve">Collection efficiency = 98.5% × (1 − scenario receipts stress).</t>
  </si>
  <si>
    <t xml:space="preserve">1_TWCF_13_Week_Liquidity!C45</t>
  </si>
  <si>
    <t xml:space="preserve">Indus rent = −IF(first week of month, quarterly rentals × Indus share / 3, 0).</t>
  </si>
  <si>
    <t xml:space="preserve">1_TWCF_13_Week_Liquidity!C58</t>
  </si>
  <si>
    <t xml:space="preserve">Spectrum instalment = −IF(week = due week, amount × (1 − relief_flag × (moratorium&gt;0)), 0).</t>
  </si>
  <si>
    <t xml:space="preserve">1_TWCF_13_Week_Liquidity!C71</t>
  </si>
  <si>
    <t xml:space="preserve">Alert = IF(close&lt;0,"DEFAULT",IF(close&lt;threshold,"BREACH","OK")); red conditional format.</t>
  </si>
  <si>
    <t xml:space="preserve">Capital Structure</t>
  </si>
  <si>
    <t xml:space="preserve">2_Capital_Structure_Waterfall!$B$8</t>
  </si>
  <si>
    <t xml:space="preserve">Penalty active = MAX(TWCF payment default, scenario default, manual override); +bps feeds bank/SBI/NCD all-in rate.</t>
  </si>
  <si>
    <t xml:space="preserve">2_Capital_Structure_Waterfall!P14</t>
  </si>
  <si>
    <t xml:space="preserve">Post-deal balance = Face − Converted (Face × conv%) − Written off (Face × haircut%).</t>
  </si>
  <si>
    <t xml:space="preserve">2_Capital_Structure_Waterfall!D52</t>
  </si>
  <si>
    <t xml:space="preserve">Spectrum cash = IF(yr ≤ moratorium, IF(Cash mode, interest, 0 [PIK]), contractual instalment × (1 − conv%)).</t>
  </si>
  <si>
    <t xml:space="preserve">2_Capital_Structure_Waterfall!$B$39</t>
  </si>
  <si>
    <t xml:space="preserve">Govt stake = (existing Govt shares + conversion shares) / post-deal shares; excess over 49% → OCRPS.</t>
  </si>
  <si>
    <t xml:space="preserve">Projections</t>
  </si>
  <si>
    <t xml:space="preserve">3_Restructuring_Projections!D17</t>
  </si>
  <si>
    <t xml:space="preserve">Mobile revenue = avg subs (mn) × ARPU × 12 / 10 (₹ crore).</t>
  </si>
  <si>
    <t xml:space="preserve">3_Restructuring_Projections!D101</t>
  </si>
  <si>
    <t xml:space="preserve">Liquidity facility draw = MAX(0, minimum cash − pre-facility cash). Interest on opening balance → no circularity.</t>
  </si>
  <si>
    <t xml:space="preserve">3_Restructuring_Projections!D83</t>
  </si>
  <si>
    <t xml:space="preserve">Balance check = ROUND(Total assets − (Total liabilities + equity), 2) = 0.</t>
  </si>
  <si>
    <t xml:space="preserve">3_Restructuring_Projections!C121</t>
  </si>
  <si>
    <t xml:space="preserve">EV = Σ PV(UFCF, mid-year) + PV(FY31 cash EBITDA × exit multiple).</t>
  </si>
  <si>
    <t xml:space="preserve">3_Restructuring_Projections!C129</t>
  </si>
  <si>
    <t xml:space="preserve">Govt GC recovery = MIN(1, (EV − operational &amp; funded claims + cash) / statutory claims at nominal).</t>
  </si>
  <si>
    <t xml:space="preserve">Liquidation</t>
  </si>
  <si>
    <t xml:space="preserve">4_Liquidation_Waterfall!$G$18</t>
  </si>
  <si>
    <t xml:space="preserve">Gross proceeds = Σ book value × CHOOSE(case, Low, Mid, High) recovery %.</t>
  </si>
  <si>
    <t xml:space="preserve">4_Liquidation_Waterfall!D31</t>
  </si>
  <si>
    <t xml:space="preserve">Tier recovery = MIN(claim, value remaining after senior tiers). Strict s.53 priority, pari passu within tier.</t>
  </si>
  <si>
    <t xml:space="preserve">4_Liquidation_Waterfall!E49</t>
  </si>
  <si>
    <t xml:space="preserve">s.30(2)(b) test: Plan B bank recovery must be ≥ liquidation recovery for dissenting financial creditors.</t>
  </si>
  <si>
    <t xml:space="preserve">0_Control_Panel!$B$23</t>
  </si>
  <si>
    <t xml:space="preserve">Bridge treatment switch (1 Strict / 2 Middle / 3 Conservative) → CHOOSE in 3_Proj F133:F145.</t>
  </si>
  <si>
    <t xml:space="preserve">0_Control_Panel!$F$69:$F$89</t>
  </si>
  <si>
    <t xml:space="preserve">Plan D column; E = CHOOSE($B$5,B,C,D,F). Row 89 = asset-sale proceeds.</t>
  </si>
  <si>
    <t xml:space="preserve">3_Restructuring_Projections!C125:C129</t>
  </si>
  <si>
    <t xml:space="preserve">ACTIVE bridge: C125 = SUM(F138:F145); C126 = SUM(F134:F137); C129 = MIN(1,MAX(0,C127/C128)).</t>
  </si>
  <si>
    <t xml:space="preserve">3_Restructuring_Projections!C148:E148</t>
  </si>
  <si>
    <t xml:space="preserve">Govt GC recovery under Strict / Middle / Conservative; range C151:C152.</t>
  </si>
  <si>
    <t xml:space="preserve">3_Restructuring_Projections!C160:G164</t>
  </si>
  <si>
    <t xml:space="preserve">EV grid = SUMPRODUCT(UFCF, (1+w)^-(t-0.5)) + multiple × FY31 cash EBITDA /(1+w)^5.</t>
  </si>
  <si>
    <t xml:space="preserve">1_TWCF_13_Week_Liquidity!C92:O99</t>
  </si>
  <si>
    <t xml:space="preserve">Min cash for amount × week = MIN(prefix-min before week, suffix-min from week − amount).</t>
  </si>
  <si>
    <t xml:space="preserve">1_TWCF_13_Week_Liquidity!C114:O114</t>
  </si>
  <si>
    <t xml:space="preserve">Break-even DoT payment by week = suffix-min − floor (0 if breached earlier).</t>
  </si>
  <si>
    <t xml:space="preserve">Reconciliations</t>
  </si>
  <si>
    <t xml:space="preserve">6_Reconciliations</t>
  </si>
  <si>
    <t xml:space="preserve">Claims bridge, EV-range construction, liquidity bridge, A/B/C/D snapshot, Plan D break-even, liquidation switches, v2→v3 and v1→v2 change logs, v3 checks R8-R11.</t>
  </si>
  <si>
    <t xml:space="preserve">1_TWCF_13_Week_Liquidity!$B$16</t>
  </si>
  <si>
    <t xml:space="preserve">Other network O&amp;M = 3_Proj C22 − B15, so B15 + B16 = 3_Proj C22 (21.5%). Check rows 124-130 reconcile every cost line to 3_Proj C22:C27.</t>
  </si>
  <si>
    <t xml:space="preserve">1_TWCF_13_Week_Liquidity!B133:B139</t>
  </si>
  <si>
    <t xml:space="preserve">13-week operating cash margin = P54 / Q3E revenue vs reported Q1 FY27 cash EBITDA margin (CP B33 ÷ B31); tolerance B135; explained by collection stress (B137) and LF/SUC timing (B138).</t>
  </si>
  <si>
    <t xml:space="preserve">1_TWCF_13_Week_Liquidity!A3</t>
  </si>
  <si>
    <t xml:space="preserve">ILLUSTRATIVE label for B5 (opening cash), B23 (instalment amount), C23 (week).</t>
  </si>
  <si>
    <t xml:space="preserve">0_Control_Panel!$G$95</t>
  </si>
  <si>
    <t xml:space="preserve">Explains why Plan A can show a 13-week breach (relief and new money excluded: 1_TWCF B24 = 0, B29 = 0) while the 5-year model shows ample cash.</t>
  </si>
  <si>
    <t xml:space="preserve">0_Control_Panel!$C$25:$E$65</t>
  </si>
  <si>
    <t xml:space="preserve">Class (Sourced / Model estimate / Plug), claims-in-total helper (D) and v3 verification status (E) for every section-3 row.</t>
  </si>
  <si>
    <t xml:space="preserve">0_Control_Panel!$B$134:$E$145</t>
  </si>
  <si>
    <t xml:space="preserve">Conversion-price sensitivity: Govt stake, OCRPS excess, dilution and mark-to-market value at par vs new-money price vs market price. Notes rows 147-151.</t>
  </si>
  <si>
    <t xml:space="preserve">2_Capital_Structure_Waterfall!$B$94</t>
  </si>
  <si>
    <t xml:space="preserve">NPV of the DoT cash deferral = Σ row 90 ÷ (1 + G14)^t (post-deal spectrum rate). Row 90 renamed from "cash relief".</t>
  </si>
  <si>
    <t xml:space="preserve">2_Capital_Structure_Waterfall!$B$101</t>
  </si>
  <si>
    <t xml:space="preserve">Obligations carried to FY32+ = closing DPO (H54) + AGR nominal outstanding (H62); carrying-value memo in B102.</t>
  </si>
  <si>
    <t xml:space="preserve">2_Capital_Structure_Waterfall!$B$106:$B$114</t>
  </si>
  <si>
    <t xml:space="preserve">Cliff test: FY31 DPO + AGR ÷ FY31 cash EBITDA; implied annual instalment to FY44 (straight-line and level annuity); flag vs WATCH/CLIFF thresholds.</t>
  </si>
  <si>
    <t xml:space="preserve">3_Restructuring_Projections!$D$128:$D$129</t>
  </si>
  <si>
    <t xml:space="preserve">Govt recovery on a carrying-value basis = C127 / (spectrum DPO + AGR carrying) beside the nominal-basis C129.</t>
  </si>
  <si>
    <t xml:space="preserve">4_Liquidation_Waterfall!$B$8</t>
  </si>
  <si>
    <t xml:space="preserve">SBI facility in secured claims; v3 default 0 ("today"). Block F rows 55-75 recomputes the waterfall for SBI excluded / included / included + matching cash; check B74 ties to D42.</t>
  </si>
  <si>
    <t xml:space="preserve">6_Reconciliations!R8-R11 (rows 211-253)</t>
  </si>
  <si>
    <t xml:space="preserve">R8 claims by class and % estimated; R9 equity vs reported net worth; R10 lease liabilities ÷ rentals; R11 FY27 instalment bridge to ₹9,259 cr.</t>
  </si>
  <si>
    <t xml:space="preserve">6_Reconciliations!$B$2</t>
  </si>
  <si>
    <t xml:space="preserve">Snapshot date for the static tables R2-R6.</t>
  </si>
  <si>
    <t xml:space="preserve">6. RECONCILIATIONS, SNAPSHOTS &amp; CHANGE LOG  (live formulas in black; static run snapshots in blue — regenerate by toggling the switches named in each block)</t>
  </si>
  <si>
    <t xml:space="preserve">Snapshot date for static tables R2–R6 (v3 build):</t>
  </si>
  <si>
    <t xml:space="preserve">R1. CLAIMS — why Control Panel B65 and the liquidation waterfall B37 differ and both are right (v3: ≈ ₹2.51 trn vs ≈ ₹2.54 trn; the v1/v2 memo figures ₹2.48 trn / ₹2.66 trn pre-date the Q1 FY27 DPO update and counted the ₹15k cr SBI facility)</t>
  </si>
  <si>
    <t xml:space="preserve">Total claims — nominal, AGR at face (v3 ≈ ₹2.51 trn; memo: "₹2.48 trn")</t>
  </si>
  <si>
    <t xml:space="preserve">Control Panel B65</t>
  </si>
  <si>
    <t xml:space="preserve">+ SBI-led facility assumed drawn before failure (only if 4_Liq B8 = 1; v3 default 0)</t>
  </si>
  <si>
    <t xml:space="preserve">4_Liq B27 less existing bank + NCD. Nil at the v3 default (4_Liq B8 = 0); a Plan-A construct when B8 = 1 — in a pure Plan B/C world this line is nil.</t>
  </si>
  <si>
    <t xml:space="preserve">+ s.53(1)(a) CIRP &amp; liquidation costs</t>
  </si>
  <si>
    <t xml:space="preserve">Priority cost, not a pre-existing claim</t>
  </si>
  <si>
    <t xml:space="preserve">+ s.53(1)(c) employee wages (12 months)</t>
  </si>
  <si>
    <t xml:space="preserve">May already sit inside "other liabilities" ₹22,000 cr — possible overlap</t>
  </si>
  <si>
    <t xml:space="preserve">+ s.53(1)(b) workmen dues (24 months)</t>
  </si>
  <si>
    <t xml:space="preserve">As above</t>
  </si>
  <si>
    <t xml:space="preserve">→ Claims in the waterfall (v3 ≈ ₹2.54 trn; memo: "₹2.66 trn admitted claims", which included the SBI facility)</t>
  </si>
  <si>
    <t xml:space="preserve">Waterfall total (4_Liquidation_Waterfall B37)</t>
  </si>
  <si>
    <t xml:space="preserve">Check (must be 0)</t>
  </si>
  <si>
    <t xml:space="preserve">Govt statutory dues as % of Control Panel B65 / of the waterfall total (B9)</t>
  </si>
  <si>
    <t xml:space="preserve">Bank + NCD (funded debt) as % of B65 / of the waterfall total (B9)</t>
  </si>
  <si>
    <t xml:space="preserve">Secured financial creditors as counted in the waterfall (SBI facility only if 4_Liq B8 = 1), as % of the waterfall total (B9)</t>
  </si>
  <si>
    <t xml:space="preserve">R2. EV RANGE — one construction for the exec summary AND the football field (v1 mixed three methods)</t>
  </si>
  <si>
    <t xml:space="preserve">Snapshot date: see B2 (06-Oct-2026, v3). Static snapshot of model runs (Plan A / Base ARPU / 5G on / levers on unless stated). Blue = pasted run output; regenerate by toggling the switches named in each block.</t>
  </si>
  <si>
    <t xml:space="preserve">Case (Plan A structure)</t>
  </si>
  <si>
    <t xml:space="preserve">EV — exit multiple</t>
  </si>
  <si>
    <t xml:space="preserve">EV — Gordon cross-check</t>
  </si>
  <si>
    <t xml:space="preserve">TV % of EV (exit)</t>
  </si>
  <si>
    <t xml:space="preserve">FY29 cash EBITDA</t>
  </si>
  <si>
    <t xml:space="preserve">Govt rec. — Strict</t>
  </si>
  <si>
    <t xml:space="preserve">Govt rec. — Middle</t>
  </si>
  <si>
    <t xml:space="preserve">Govt rec. — Conservative</t>
  </si>
  <si>
    <t xml:space="preserve">EV ÷ liquidation (exit)</t>
  </si>
  <si>
    <t xml:space="preserve">High ARPU 11% (mgmt plan)</t>
  </si>
  <si>
    <t xml:space="preserve">v1 football field plotted ±10% bands around the exit-multiple EV for four cases (e.g. High 135–165k around 149.6k) and Gordon↔exit only for Base. v2 plots Gordon↔exit for every case.</t>
  </si>
  <si>
    <t xml:space="preserve">Base ARPU 7%</t>
  </si>
  <si>
    <t xml:space="preserve">Base, 5G capex phased (switch off)</t>
  </si>
  <si>
    <t xml:space="preserve">Low ARPU 4%</t>
  </si>
  <si>
    <t xml:space="preserve">Gordon in the Low case (₹33.3 k) is BELOW liquidation mid (₹47.0k): the crossover is earlier than the v1 memo said, though Gordon applies a 4% perpetuity to FY31 FCF that still carries ₹12k growth-level capex (punitive).</t>
  </si>
  <si>
    <t xml:space="preserve">Downside: Low ARPU, no churn/opex levers (STRESS)</t>
  </si>
  <si>
    <t xml:space="preserve">Liquidation proceeds — low / mid / high (live)</t>
  </si>
  <si>
    <t xml:space="preserve">Range used in corrected exec summary — exit-multiple EV, four standard cases (min / max)</t>
  </si>
  <si>
    <t xml:space="preserve">Gordon cross-check, four standard cases (min / max)</t>
  </si>
  <si>
    <t xml:space="preserve">Full span incl. downside, both methods (min / max)</t>
  </si>
  <si>
    <t xml:space="preserve">Live check — active-case EV (C121) vs snapshot Base row; valid only at Plan A / Base ARPU / 5G on / levers on</t>
  </si>
  <si>
    <t xml:space="preserve">R3. LIQUIDITY — why DSCR is negative and obligations are 6.0x yet "no liquidity facility" is needed (ACTIVE plan, live)</t>
  </si>
  <si>
    <t xml:space="preserve">Cash EBITDA</t>
  </si>
  <si>
    <t xml:space="preserve">Less: capex</t>
  </si>
  <si>
    <t xml:space="preserve">Cash EBITDA − capex (DSCR numerator)</t>
  </si>
  <si>
    <t xml:space="preserve">DoT cash paid (spectrum + AGR)</t>
  </si>
  <si>
    <t xml:space="preserve">New money in (equity + asset sale + SBI draw)</t>
  </si>
  <si>
    <t xml:space="preserve">Liquidity-facility draw required</t>
  </si>
  <si>
    <t xml:space="preserve">Headroom over ₹4,000 cr floor</t>
  </si>
  <si>
    <t xml:space="preserve">DSCR (x)</t>
  </si>
  <si>
    <t xml:space="preserve">Total obligations ÷ cash EBITDA — AGR at carrying value (as reported, x)</t>
  </si>
  <si>
    <t xml:space="preserve">Total obligations ÷ cash EBITDA — AGR at NOMINAL (x)</t>
  </si>
  <si>
    <t xml:space="preserve">Plan A funding gap with NO new money (liquidity facility needed, FY27–31) — static snapshot (06-Oct-2026, v3), by ARPU case</t>
  </si>
  <si>
    <t xml:space="preserve">Case</t>
  </si>
  <si>
    <t xml:space="preserve">Gap, no new money</t>
  </si>
  <si>
    <t xml:space="preserve">New money in Plan A</t>
  </si>
  <si>
    <t xml:space="preserve">Facility draw WITH new money</t>
  </si>
  <si>
    <t xml:space="preserve">Reading: in the Base case Plan A needs only ~₹0.4k cr of new money; the ₹30k cr package is insurance sized to the Low/Downside cases. DSCR &lt; 1.0x in FY27-28 because capex exceeds cash EBITDA, funded from pre-raised cash — hence both statements are true.</t>
  </si>
  <si>
    <t xml:space="preserve">R4. PLAN A / B / C / D COMPARISON — static snapshot (set 0_Control_Panel!B5 = 1..4 to reproduce)</t>
  </si>
  <si>
    <t xml:space="preserve">Snapshot date: see B2 (06-Oct-2026, v3). Static snapshot of model runs (Plan A / Base ARPU / 5G on / levers on unless stated). Blue = pasted run output.</t>
  </si>
  <si>
    <t xml:space="preserve">Output</t>
  </si>
  <si>
    <t xml:space="preserve">Live (active)</t>
  </si>
  <si>
    <t xml:space="preserve">Snapshot tie-out</t>
  </si>
  <si>
    <t xml:space="preserve">Plan C is shown after the v2 s.14 fix (moratorium 2 yrs, PIK). Its "liquidity need" is not decision-relevant — the plan ends in liquidation.</t>
  </si>
  <si>
    <t xml:space="preserve">Weeks below ₹40 bn floor (of 13)</t>
  </si>
  <si>
    <t xml:space="preserve">Default penalty (+200 bps) triggered</t>
  </si>
  <si>
    <t xml:space="preserve">DoT cash deferral FY27–31 vs contract (₹ cr)</t>
  </si>
  <si>
    <t xml:space="preserve">Cumulative liquidity facility needed FY27–31 (₹ cr)</t>
  </si>
  <si>
    <t xml:space="preserve">Minimum DSCR FY27–31 (x)</t>
  </si>
  <si>
    <t xml:space="preserve">Government economic stake post-deal</t>
  </si>
  <si>
    <t xml:space="preserve">Going-concern EV — exit multiple (₹ cr)</t>
  </si>
  <si>
    <t xml:space="preserve">Liquidation proceeds, mid (₹ cr)</t>
  </si>
  <si>
    <t xml:space="preserve">Govt recovery GC — Strict</t>
  </si>
  <si>
    <t xml:space="preserve">GC recovery % is identical across A/B/C/D except for haircuts because unlevered EV does not depend on structure: plans differ in FEASIBILITY (funding, consents, timing) and in who holds the surplus, not in EV.</t>
  </si>
  <si>
    <t xml:space="preserve">Govt recovery GC — Middle</t>
  </si>
  <si>
    <t xml:space="preserve">Govt recovery GC — Conservative</t>
  </si>
  <si>
    <t xml:space="preserve">Govt recovery in liquidation</t>
  </si>
  <si>
    <t xml:space="preserve">FY31 closing cash (₹ cr)</t>
  </si>
  <si>
    <t xml:space="preserve">FY31 total obligations ÷ cash EBITDA (AGR carrying, x)</t>
  </si>
  <si>
    <t xml:space="preserve">Balance check (all four plans, all years) — verified when run</t>
  </si>
  <si>
    <t xml:space="preserve">R5. PLAN D — what a strategic investor must write (static snapshot, 06-Oct-2026 v3; Plan D inputs in 0_Control_Panel column F)</t>
  </si>
  <si>
    <t xml:space="preserve">Strategic equity assumed in the Plan D column (₹ cr) — illustrative</t>
  </si>
  <si>
    <t xml:space="preserve">Liquidity still needed FY27–31 at that cheque, with 12-month DoT standstill (₹ cr)</t>
  </si>
  <si>
    <t xml:space="preserve">Plan D is credible only with a six-figure-crore cheque; no buyer is identified in the files. Treat it as a complement to Plan A (a strategic can be the source of the ₹15k cr new equity), not a rival.</t>
  </si>
  <si>
    <t xml:space="preserve">Break-even cheque: equity such that liquidity need = 0 (₹ cr; bisection)</t>
  </si>
  <si>
    <t xml:space="preserve">   Break-even cheque ÷ reference market cap (0_Control_Panel B39)</t>
  </si>
  <si>
    <t xml:space="preserve">   Govt economic stake post-deal at break-even cheque</t>
  </si>
  <si>
    <t xml:space="preserve">Liquidity needed at ₹30,000 cr cheque if NO DoT standstill (₹ cr)</t>
  </si>
  <si>
    <t xml:space="preserve">Liquidity needed at ₹30,000 cr cheque if ₹10,000 cr non-spectrum asset sold at book, zero EBITDA lost (₹ cr)</t>
  </si>
  <si>
    <t xml:space="preserve">Compare: Plan A new money (equity + SBI draw, ₹ cr) with the DoT cash deferral (row 61)</t>
  </si>
  <si>
    <t xml:space="preserve">R6. LIQUIDATION SWITCHES — the "banks are not impaired" and "Plan B fails s.30(2)(b)" claims depend on the spectrum-in-estate, SBI-facility and Rainbow switches (static snapshot, 06-Oct-2026 v3; 4_Liq B8 default is now 0)</t>
  </si>
  <si>
    <t xml:space="preserve">Gross proceeds (₹ cr)</t>
  </si>
  <si>
    <t xml:space="preserve">Secured FC recovery</t>
  </si>
  <si>
    <t xml:space="preserve">Govt recovery</t>
  </si>
  <si>
    <t xml:space="preserve">Tier (f) recovery</t>
  </si>
  <si>
    <t xml:space="preserve">Plan B 35% haircut (65%) passes s.30(2)(b)?</t>
  </si>
  <si>
    <t xml:space="preserve">Mid recovery, spectrum in estate, SBI facility EXCLUDED (memo base; v3 default B8 = 0)</t>
  </si>
  <si>
    <t xml:space="preserve">Low recovery (SBI excluded)</t>
  </si>
  <si>
    <t xml:space="preserve">v1 said "with spectrum excluded, liquidation value roughly halves". Run result (v3): ₹47,015 → ₹13,765 cr (−71%). Secured lenders recover 60% if the ₹15,000 cr SBI facility is counted (row 94) and 100% if not (row 90) — a 35% haircut (65% recovery) clears the liquidation floor only in the SBI-included case.</t>
  </si>
  <si>
    <t xml:space="preserve">High recovery (SBI excluded)</t>
  </si>
  <si>
    <t xml:space="preserve">Spectrum EXCLUDED from estate (mid; SBI excluded)</t>
  </si>
  <si>
    <t xml:space="preserve">Spectrum excluded + low recovery (SBI excluded)</t>
  </si>
  <si>
    <t xml:space="preserve">Govt dues secured — Rainbow Papers (mid; SBI excluded)</t>
  </si>
  <si>
    <t xml:space="preserve">Under Rainbow Papers lenders recover ~22%, so EVERY 35–50% haircut would pass the s.30(2)(b) test — Plan B's rejection rests on the base-case switches, not on law.</t>
  </si>
  <si>
    <t xml:space="preserve">Spectrum in estate, SBI facility INCLUDED as secured claim, no matching asset (mid; the v2 default)</t>
  </si>
  <si>
    <t xml:space="preserve">Spectrum EXCLUDED + SBI facility INCLUDED (mid; v2 basis — the v2 "63%" case; 60% in v3)</t>
  </si>
  <si>
    <t xml:space="preserve">R7. CHANGE LOG — v2 → v3 is the block that starts at row 125 (this release); the v1 → v2 log below (rows 97-123) is retained for history. Values in the v1 → v2 block are as at 4-Oct-2026 and are NOT updated.</t>
  </si>
  <si>
    <t xml:space="preserve">v1</t>
  </si>
  <si>
    <t xml:space="preserve">v2</t>
  </si>
  <si>
    <t xml:space="preserve">Δ</t>
  </si>
  <si>
    <t xml:space="preserve">Why it moved</t>
  </si>
  <si>
    <t xml:space="preserve">Govt recovery GC — Plan A (headline, Middle treatment)</t>
  </si>
  <si>
    <t xml:space="preserve">Bridge no longer deducts lease liabilities (already in cash-EBITDA FCF) or the ₹22,000 cr plug; adds SBI facility, new money and new-equity netting; keeps trade payables.</t>
  </si>
  <si>
    <t xml:space="preserve">   Strict treatment</t>
  </si>
  <si>
    <t xml:space="preserve">New: only funded debt deducted.</t>
  </si>
  <si>
    <t xml:space="preserve">   Conservative treatment</t>
  </si>
  <si>
    <t xml:space="preserve">New: v1-style deductions + trapped cash; lease double-count retained deliberately as a stress.</t>
  </si>
  <si>
    <t xml:space="preserve">Govt recovery GC — Plan B</t>
  </si>
  <si>
    <t xml:space="preserve">Same bridge change (Middle).</t>
  </si>
  <si>
    <t xml:space="preserve">Bridge deductions C125 (₹ cr)</t>
  </si>
  <si>
    <t xml:space="preserve">Middle: SBI facility −15,000, new-equity −15,000, bank −211, NCD −3,300, trade −11,500.</t>
  </si>
  <si>
    <t xml:space="preserve">Bridge cash C126 (₹ cr)</t>
  </si>
  <si>
    <t xml:space="preserve">Adds ₹30,000 cr new-money cash (SBI draw + equity) at close.</t>
  </si>
  <si>
    <t xml:space="preserve">Value available C127 (₹ cr)</t>
  </si>
  <si>
    <t xml:space="preserve">Result of the two lines above.</t>
  </si>
  <si>
    <t xml:space="preserve">Govt recovery range (new)</t>
  </si>
  <si>
    <t xml:space="preserve">28.3% (Conservative) – 58.0% (Strict); Middle 52.0%.</t>
  </si>
  <si>
    <t xml:space="preserve">Plan C: liquidity need FY27–31 (₹ cr)</t>
  </si>
  <si>
    <t xml:space="preserve">s.14 moratorium now applied for the 24-month CIRP: DPO instalments no longer forced into cash; interest accrues.</t>
  </si>
  <si>
    <t xml:space="preserve">Plan C: minimum DSCR (x)</t>
  </si>
  <si>
    <t xml:space="preserve">Same cause; DSCR denominator ≈ 0 during stay, so ratio is not meaningful.</t>
  </si>
  <si>
    <t xml:space="preserve">Plan C: DoT cash relief FY27–31 (₹ cr)</t>
  </si>
  <si>
    <t xml:space="preserve">Same cause.</t>
  </si>
  <si>
    <t xml:space="preserve">Plan C: FY31 obligations ÷ cash EBITDA (x)</t>
  </si>
  <si>
    <t xml:space="preserve">Plan A / B: 13-wk min cash, liquidity need, DSCR, EV, balance check</t>
  </si>
  <si>
    <t xml:space="preserve">UNCHANGED (3,425 / 0; 3,700 / 71,499; −0.77x / −0.15x; EV 108,038 / 109,263; balance check 0).</t>
  </si>
  <si>
    <t xml:space="preserve">Exec-summary EV range (₹ cr)</t>
  </si>
  <si>
    <t xml:space="preserve">v1 "65.5k–149.6k across methods and cases" → v2: exit-multiple 80.3k–149.6k (four standard cases); Gordon 33.3k–113.5k; full span −7.4k–149.6k incl. downside.</t>
  </si>
  <si>
    <t xml:space="preserve">Football field: Low-ARPU bar (₹ cr)</t>
  </si>
  <si>
    <t xml:space="preserve">v1 72–88k (±10% band) → v2 33.3–80.3k (Gordon–exit).</t>
  </si>
  <si>
    <t xml:space="preserve">Football field: High-ARPU bar (₹ cr)</t>
  </si>
  <si>
    <t xml:space="preserve">v1 135–165k (±10% band) → v2 113.5–149.6k.</t>
  </si>
  <si>
    <t xml:space="preserve">Football field: Downside bar (₹ cr)</t>
  </si>
  <si>
    <t xml:space="preserve">v1 41–50k → v2 −7.4k–45.4k (Gordon EV is negative).</t>
  </si>
  <si>
    <t xml:space="preserve">Liquidation if spectrum excluded (₹ cr)</t>
  </si>
  <si>
    <t xml:space="preserve">v1 text: "roughly halves" (implied ~23.7k). Run: 14,190 (−70%).</t>
  </si>
  <si>
    <t xml:space="preserve">Govt recovery GC by ARPU case — High (Middle)</t>
  </si>
  <si>
    <t xml:space="preserve">Bridge change.</t>
  </si>
  <si>
    <t xml:space="preserve">   Low ARPU</t>
  </si>
  <si>
    <t xml:space="preserve">   Downside</t>
  </si>
  <si>
    <t xml:space="preserve">Bridge change: v1 showed 0%; Middle now 19.3% vs 13.1% in liquidation.</t>
  </si>
  <si>
    <t xml:space="preserve">New: Govt dues secured (Rainbow) lender recovery</t>
  </si>
  <si>
    <t xml:space="preserve">Run of existing switch, previously not quantified.</t>
  </si>
  <si>
    <t xml:space="preserve">New: week-10 sensitivity — headroom with NO DoT payment (₹ cr)</t>
  </si>
  <si>
    <t xml:space="preserve">Min closing cash ex-instalment is 4,125 (week 5) vs 4,000 floor.</t>
  </si>
  <si>
    <t xml:space="preserve">New: max DoT payment w/o breach if paid wk 8–10 (₹ cr)</t>
  </si>
  <si>
    <t xml:space="preserve">After the ₹1,500 cr warrant lands in week 8.</t>
  </si>
  <si>
    <t xml:space="preserve">New: Plan D break-even cheque (₹ cr)</t>
  </si>
  <si>
    <t xml:space="preserve">Bisection run.</t>
  </si>
  <si>
    <t xml:space="preserve">New: Plan A funding gap with no new money, Base / Low / Downside (₹ cr)</t>
  </si>
  <si>
    <t xml:space="preserve">410 / 11,778 / 26,759</t>
  </si>
  <si>
    <t xml:space="preserve">R7 (v2 → v3). CHANGE LOG — 06-Oct-2026. Old value (v2 file), new value (v3 run), why. Blue = static value from a run; black = formula.</t>
  </si>
  <si>
    <t xml:space="preserve">Item / cell</t>
  </si>
  <si>
    <t xml:space="preserve">v2 (old)</t>
  </si>
  <si>
    <t xml:space="preserve">v3 (new)</t>
  </si>
  <si>
    <t xml:space="preserve">Why it changed</t>
  </si>
  <si>
    <t xml:space="preserve">A. INPUT / ANCHOR CHANGES</t>
  </si>
  <si>
    <t xml:space="preserve">0_Control_Panel B25 — spectrum DPO (₹ cr)</t>
  </si>
  <si>
    <t xml:space="preserve">Q1 FY27 disclosure (quarter ended 30-Jun-2026; announced 10-Aug-2026) replaces the 31-Mar-2026 figure. Raises statutory claims and the conversion amount.</t>
  </si>
  <si>
    <t xml:space="preserve">0_Control_Panel B27 — AGR DPO, carrying value (₹ cr)</t>
  </si>
  <si>
    <t xml:space="preserve">Same source. Feeds the AGR schedule (2_Cap D2) and the carrying-basis recovery.</t>
  </si>
  <si>
    <t xml:space="preserve">0_Control_Panel B38 — reference share price (₹)</t>
  </si>
  <si>
    <t xml:space="preserve">v2 used the 13-Jun-2026 close. v3 uses the 1-Oct-2026 NSE close (5-Oct intraday ₹12.63–12.74). The 10-Aug-2026 close of ₹12.92 is per the brief and NOT independently verified. Not a live feed.</t>
  </si>
  <si>
    <t xml:space="preserve">0_Control_Panel B39 — market capitalisation (₹ cr)</t>
  </si>
  <si>
    <t xml:space="preserve">Third-party market cap at the new price (ICICI Direct / Tickertape, 1-Oct-2026). UNVERIFIED vs exchange data.</t>
  </si>
  <si>
    <t xml:space="preserve">0_Control_Panel B40 — shares outstanding (crore), derived</t>
  </si>
  <si>
    <t xml:space="preserve">Derived as B39 / B38; ties to the third-party count of 10,834.3 cr. The v2 figure came from a stale price / market-cap pair.</t>
  </si>
  <si>
    <t xml:space="preserve">0_Control_Panel B64 — total liabilities, book (₹ cr)</t>
  </si>
  <si>
    <t xml:space="preserve">Follows from B25 and B27. Still ≈ ₹2.1 trn.</t>
  </si>
  <si>
    <t xml:space="preserve">0_Control_Panel B65 — total claims, nominal (₹ cr)</t>
  </si>
  <si>
    <t xml:space="preserve">Follows from B25.</t>
  </si>
  <si>
    <t xml:space="preserve">1_TWCF B16 — other network O&amp;M (% of revenue)</t>
  </si>
  <si>
    <t xml:space="preserve">v2 input 6.0%. v3 formula = 3_Proj C22 − B15, so TWCF and projections share one cost base.</t>
  </si>
  <si>
    <t xml:space="preserve">1_TWCF B15 + B16 — network opex ex-lease (% of revenue)</t>
  </si>
  <si>
    <t xml:space="preserve">Reconciles TWCF (17.0%) to 3_Proj C22 (21.5%), the figure calibrated to the reported 43.1% EBITDA margin.</t>
  </si>
  <si>
    <t xml:space="preserve">1_TWCF total cash opex ex-lease (% of revenue)</t>
  </si>
  <si>
    <t xml:space="preserve">52.4% → 56.9%; now equals 3_Proj C27 (check rows 125-130 on 1_TWCF).</t>
  </si>
  <si>
    <t xml:space="preserve">4_Liq B8 — include SBI facility in secured claims (1/0)</t>
  </si>
  <si>
    <t xml:space="preserve">v2 default 1 counted a ₹15,000 cr secured claim with no matching asset. Default is now 0 for the "today" comparison; both treatments are shown live in 4_Liq rows 55-75.</t>
  </si>
  <si>
    <t xml:space="preserve">B. LABEL / TEXT / STRUCTURE CHANGES (no value moved by the edit itself)</t>
  </si>
  <si>
    <t xml:space="preserve">0_Control_Panel F25, F27, F28–F36</t>
  </si>
  <si>
    <t xml:space="preserve">—</t>
  </si>
  <si>
    <t xml:space="preserve">relabelled</t>
  </si>
  <si>
    <t xml:space="preserve">Source notes rewritten; F28–F36 re-dated "quarter ended 30-Jun-2026; results announced 10-Aug-2026", each with a v3 verification tag.</t>
  </si>
  <si>
    <t xml:space="preserve">0_Control_Panel F42, B42–B46, F43–F47, F49</t>
  </si>
  <si>
    <t xml:space="preserve">FY27 instalment reconciled to the ₹9,259 cr (spectrum + AGR) due by Jun-2027 (R11 below); rows not disclosed are flagged UNVERIFIED. B49 (₹40 bn floor) moved to MODEL ESTIMATE / UNVERIFIED because no source was found for "board-mandated".</t>
  </si>
  <si>
    <t xml:space="preserve">0_Control_Panel C24:E65, A66</t>
  </si>
  <si>
    <t xml:space="preserve">New classification columns (Sourced / Model estimate / Plug), claims-in-total helper and v3 verification status; claims-by-class total in R8.</t>
  </si>
  <si>
    <t xml:space="preserve">1_TWCF A3, D5, D23</t>
  </si>
  <si>
    <t xml:space="preserve">B5, B23, C23 labelled ILLUSTRATIVE in the sheet header and source notes.</t>
  </si>
  <si>
    <t xml:space="preserve">0_Control_Panel G95</t>
  </si>
  <si>
    <t xml:space="preserve">Note explaining why the 13-week TWCF can show a breach while the 5-year model shows ample cash (relief and new money excluded from the window).</t>
  </si>
  <si>
    <t xml:space="preserve">"Cash relief" → "DoT cash deferral" (CP A98, 2_Cap A90, R4 A61)</t>
  </si>
  <si>
    <t xml:space="preserve">Renamed; deferral is not forgiveness. Added NPV, carry-forward and cliff test (2_Cap rows 91-116; CP rows 119-123).</t>
  </si>
  <si>
    <t xml:space="preserve">4_Liq H8, H41, rows 55-75</t>
  </si>
  <si>
    <t xml:space="preserve">H8 rewritten; H41 made conditional (cites spectrum-in-estate and the live R6 "spectrum excluded + SBI included" result: 63% in v2, 60% in v3); new block F shows Govt liquidation recovery with and without the SBI facility.</t>
  </si>
  <si>
    <t xml:space="preserve">3_Proj D127:E129</t>
  </si>
  <si>
    <t xml:space="preserve">Govt recovery on a carrying-value basis shown beside the nominal-basis figure.</t>
  </si>
  <si>
    <t xml:space="preserve">0_Control_Panel rows 132-151</t>
  </si>
  <si>
    <t xml:space="preserve">Conversion-price sensitivity (par vs new-money vs market) and the ₹10-vs-₹12 explanation with a legal/SEBI flag.</t>
  </si>
  <si>
    <t xml:space="preserve">5_Logic_Map; file header</t>
  </si>
  <si>
    <t xml:space="preserve">Updated to four plans; "PDF blueprint" reference removed; rows added for the new checks; header relabelled v3.</t>
  </si>
  <si>
    <t xml:space="preserve">6_Reconciliations B2, R2–R6 headers</t>
  </si>
  <si>
    <t xml:space="preserve">Snapshot-date label added; static tables re-run for all four plans. R6 gained a row separating the SBI-included and SBI-excluded cases.</t>
  </si>
  <si>
    <t xml:space="preserve">C. PLAN A (ACTIVE) — OUTPUTS THAT MOVED (static: v2 run vs v3 run)</t>
  </si>
  <si>
    <t xml:space="preserve">All from the TWCF cost-base reconciliation (network cost +4.5 pp of revenue); the anchor refresh does not touch the 13-week cash flows. See attribution table G.</t>
  </si>
  <si>
    <t xml:space="preserve">Lower cash from the reconciled cost base puts 2 more weeks below the floor.</t>
  </si>
  <si>
    <t xml:space="preserve">Breach now starts in week 5 (v2: week 10) because headroom over the floor is ~₹425 cr thinner.</t>
  </si>
  <si>
    <t xml:space="preserve">20% of the larger spectrum DPO (₹130,299 cr) + 25% of AGR face; +₹588 cr.</t>
  </si>
  <si>
    <t xml:space="preserve">Unchanged: DoT instalments (B42:B47) are inputs, not a function of the DPO balance, so the new balance only changes non-cash interest.</t>
  </si>
  <si>
    <t xml:space="preserve">More conversion shares (+) are outweighed by the higher pre-deal share count (10,834 cr vs 10,311 cr) and the Govt 48.99% base.</t>
  </si>
  <si>
    <t xml:space="preserve">Unchanged: unlevered EV does not depend on the DPO balances or the TWCF window.</t>
  </si>
  <si>
    <t xml:space="preserve">Estate cash is the 13-week minimum (₹425 cr lower); other assets unchanged.</t>
  </si>
  <si>
    <t xml:space="preserve">Spectrum DPO is higher, so the nominal-claims denominator is ₹194,345 cr (v2 ₹191,406 cr); the numerator is unchanged.</t>
  </si>
  <si>
    <t xml:space="preserve">Govt recovery GC — Middle (headline)</t>
  </si>
  <si>
    <t xml:space="preserve">As above.</t>
  </si>
  <si>
    <t xml:space="preserve">Govt recovery in liquidation (4_Liq D42; B8 = 1 in v2, 0 in v3)</t>
  </si>
  <si>
    <t xml:space="preserve">Driven by the B8 default (+5.9 pp: SBI facility no longer a secured claim with no asset); anchors (−0.2 pp) and lower estate cash (−0.2 pp) pull the other way. See attribution table G.</t>
  </si>
  <si>
    <t xml:space="preserve">Unchanged: cash instalments are inputs.</t>
  </si>
  <si>
    <t xml:space="preserve">Unchanged: Plan A needs no liquidity facility in the Base case.</t>
  </si>
  <si>
    <t xml:space="preserve">Unchanged: the DPO anchors do not change operating cash flows.</t>
  </si>
  <si>
    <t xml:space="preserve">FY31 total obligations ÷ cash EBITDA, AGR at carrying (x)</t>
  </si>
  <si>
    <t xml:space="preserve">Larger closing DPO: higher opening balance accruing at 7.5% (PIK).</t>
  </si>
  <si>
    <t xml:space="preserve">D. PLANS B / C / D — KEY OUTPUTS (static: v2 run vs v3 run)</t>
  </si>
  <si>
    <t xml:space="preserve">Plan B: 13-week minimum closing cash (₹ cr)</t>
  </si>
  <si>
    <t xml:space="preserve">TWCF cost-base reconciliation (lower 13-week cash).</t>
  </si>
  <si>
    <t xml:space="preserve">Plan B: cumulative liquidity facility needed FY27–31 (₹ cr)</t>
  </si>
  <si>
    <t xml:space="preserve">Unchanged: cash instalments are inputs; the larger DPO balance only adds non-cash interest.</t>
  </si>
  <si>
    <t xml:space="preserve">Plan B: Govt recovery GC — Middle</t>
  </si>
  <si>
    <t xml:space="preserve">Nominal-claims denominator is larger (₹194,345 cr vs ₹191,406 cr).</t>
  </si>
  <si>
    <t xml:space="preserve">Plan B: Govt recovery in liquidation</t>
  </si>
  <si>
    <t xml:space="preserve">B8 default (SBI facility excluded) dominates; lower estate cash and larger claims offset a little.</t>
  </si>
  <si>
    <t xml:space="preserve">Plan C: 13-week minimum closing cash (₹ cr)</t>
  </si>
  <si>
    <t xml:space="preserve">Plan C: cumulative liquidity facility needed FY27–31 (₹ cr)</t>
  </si>
  <si>
    <t xml:space="preserve">Plan C: Govt recovery GC — Middle</t>
  </si>
  <si>
    <t xml:space="preserve">Plan C: Govt recovery in liquidation</t>
  </si>
  <si>
    <t xml:space="preserve">Plan D: 13-week minimum closing cash (₹ cr)</t>
  </si>
  <si>
    <t xml:space="preserve">Plan D: cumulative liquidity facility needed FY27–31 (₹ cr)</t>
  </si>
  <si>
    <t xml:space="preserve">Plan D: Govt recovery GC — Middle</t>
  </si>
  <si>
    <t xml:space="preserve">Plan D: Govt recovery in liquidation</t>
  </si>
  <si>
    <t xml:space="preserve">E. SNAPSHOT TABLES RE-RUN (06-Oct-2026): R2 (EV by case), R3 (no-new-money gap), R4 (A/B/C/D), R5 (Plan D break-even), R6 (liquidation switches)</t>
  </si>
  <si>
    <t xml:space="preserve">R5 Plan D break-even cheque (₹ cr)</t>
  </si>
  <si>
    <t xml:space="preserve">Bisection re-run; Plan D issues at B38, now ₹12.64 (v2 ₹14.90), so the same cheque buys more shares.</t>
  </si>
  <si>
    <t xml:space="preserve">R2 Base ARPU: Gordon cross-check EV (₹ cr)</t>
  </si>
  <si>
    <t xml:space="preserve">Unchanged: unlevered cash flows do not depend on DPO anchors.</t>
  </si>
  <si>
    <t xml:space="preserve">R6 secured-lender recovery, spectrum excluded + SBI facility included (the v2 "63%" case; 60% in v3)</t>
  </si>
  <si>
    <t xml:space="preserve">v2 63%; v3 60% — estate cash is lower (TWCF) and the SBI-included case is no longer the default. Cited live in 4_Liq H41.</t>
  </si>
  <si>
    <t xml:space="preserve">Govt liquidation recovery — SBI facility INCLUDED, no matching asset (v2 default)</t>
  </si>
  <si>
    <t xml:space="preserve">v2 13.1% → v3 12.7%: larger statutory claims and lower estate cash.</t>
  </si>
  <si>
    <t xml:space="preserve">Govt liquidation recovery — SBI facility EXCLUDED (v3 default)</t>
  </si>
  <si>
    <t xml:space="preserve">v2 19.0% (R6 sensitivity row) → v3 18.6%: same drivers. Both treatments now live in 4_Liq rows 55-75.</t>
  </si>
  <si>
    <t xml:space="preserve">F. NEW CHECKS AND LINES (live links to the v3 sheets — no v2 equivalent)</t>
  </si>
  <si>
    <t xml:space="preserve">1_TWCF B134: 13-week cash margin less reported Q1 FY27 cash EBITDA margin (pp)</t>
  </si>
  <si>
    <t xml:space="preserve">n/a (new)</t>
  </si>
  <si>
    <t xml:space="preserve">Within ±2 pp after the cost-base fix. The v2 basis would have shown the margin ~3.3 pp ABOVE reported (1_TWCF B140).</t>
  </si>
  <si>
    <t xml:space="preserve">2_Cap B94: NPV of DoT cash deferral FY27–31 @ post-deal rate (₹ cr)</t>
  </si>
  <si>
    <t xml:space="preserve">Time value only; the carried balance below is still owed.</t>
  </si>
  <si>
    <t xml:space="preserve">2_Cap B101: obligations carried to FY32+ — DPO + AGR nominal at FY31 (₹ cr)</t>
  </si>
  <si>
    <t xml:space="preserve">What the deferral leaves behind.</t>
  </si>
  <si>
    <t xml:space="preserve">2_Cap B106: FY31 DPO + AGR ÷ FY31 cash EBITDA (x)</t>
  </si>
  <si>
    <t xml:space="preserve">Cliff test.</t>
  </si>
  <si>
    <t xml:space="preserve">2_Cap B109: implied annual instalment FY32–44, level annuity (₹ cr)</t>
  </si>
  <si>
    <t xml:space="preserve">Simple screen; ignores the AGR schedule and any further relief.</t>
  </si>
  <si>
    <t xml:space="preserve">2_Cap B110: implied instalment ÷ FY31 cash EBITDA</t>
  </si>
  <si>
    <t xml:space="preserve">Flag thresholds on 2_Cap B113:C113 (MODEL ASSUMPTIONS).</t>
  </si>
  <si>
    <t xml:space="preserve">3_Proj C129: Govt recovery, nominal basis</t>
  </si>
  <si>
    <t xml:space="preserve">Legal-claim basis (existing).</t>
  </si>
  <si>
    <t xml:space="preserve">3_Proj D129: Govt recovery, carrying-value basis</t>
  </si>
  <si>
    <t xml:space="preserve">New; smaller denominator (AGR at carrying, not face).</t>
  </si>
  <si>
    <t xml:space="preserve">CP B140: Govt stake at conversion price ₹10 (par)</t>
  </si>
  <si>
    <t xml:space="preserve">Conversion-price sensitivity.</t>
  </si>
  <si>
    <t xml:space="preserve">CP D140: Govt stake at conversion price = market (B38)</t>
  </si>
  <si>
    <t xml:space="preserve">Conversion-price sensitivity; fewer shares per ₹ converted.</t>
  </si>
  <si>
    <t xml:space="preserve">R8: share of claims that is a model estimate or plug</t>
  </si>
  <si>
    <t xml:space="preserve">Classification of 0_Control_Panel section 3.</t>
  </si>
  <si>
    <t xml:space="preserve">R9: model equity less reported net worth (₹ cr)</t>
  </si>
  <si>
    <t xml:space="preserve">Reported figure from the brief; UNVERIFIED. Outside the ±5% tolerance after the DPO update; plug not re-set.</t>
  </si>
  <si>
    <t xml:space="preserve">R10: lease liabilities ÷ annual rentals (years)</t>
  </si>
  <si>
    <t xml:space="preserve">Flagged "looks short" for tower leases.</t>
  </si>
  <si>
    <t xml:space="preserve">R11: residual between ₹9,259 cr disclosed (to Jun-2027) and model FY27 (₹ cr)</t>
  </si>
  <si>
    <t xml:space="preserve">Derived; UNVERIFIED.</t>
  </si>
  <si>
    <t xml:space="preserve">G. ATTRIBUTION — Plan A, one change at a time (static runs)</t>
  </si>
  <si>
    <t xml:space="preserve">13-wk min cash (₹ cr)</t>
  </si>
  <si>
    <t xml:space="preserve">Govt GC recovery (Middle)</t>
  </si>
  <si>
    <t xml:space="preserve">Govt liquidation recovery</t>
  </si>
  <si>
    <t xml:space="preserve">Govt stake post-deal</t>
  </si>
  <si>
    <t xml:space="preserve">Liquidation proceeds (₹ cr)</t>
  </si>
  <si>
    <t xml:space="preserve">v2 file as received</t>
  </si>
  <si>
    <t xml:space="preserve">+ anchor refresh (B25, B27, B38, B39)</t>
  </si>
  <si>
    <t xml:space="preserve">+ TWCF cost-base reconciliation (B16) </t>
  </si>
  <si>
    <t xml:space="preserve">+ 4_Liq B8 default 0 (= v3)</t>
  </si>
  <si>
    <t xml:space="preserve">Check: S3 equals live Plan A values (6_Reconciliations R4 col B / live column F) — see R4 tie-out column G.</t>
  </si>
  <si>
    <t xml:space="preserve">R8. CLAIMS CLASSIFICATION — sourced vs model estimate vs plug (0_Control_Panel section 3, rows 25-65; live)</t>
  </si>
  <si>
    <t xml:space="preserve">Claims (₹ cr)</t>
  </si>
  <si>
    <t xml:space="preserve">% of total claims</t>
  </si>
  <si>
    <t xml:space="preserve">Inputs (count)</t>
  </si>
  <si>
    <t xml:space="preserve">Sourced = public disclosure or filing-based figure (see v3 check column on 0_Control_Panel for verification status). Model estimate = analyst assumption. Plug = value set to make the book balance (B57).</t>
  </si>
  <si>
    <t xml:space="preserve">TOTAL claims in Control Panel B65</t>
  </si>
  <si>
    <t xml:space="preserve">Check vs 0_Control_Panel B65 (must be 0)</t>
  </si>
  <si>
    <t xml:space="preserve">% of claims ESTIMATED (model estimate + plug)</t>
  </si>
  <si>
    <t xml:space="preserve">Everything not sourced is concentrated in the operational-creditor and "other liabilities" lines; none of it touches the statutory-dues claims that drive Govt recovery.</t>
  </si>
  <si>
    <t xml:space="preserve">Rows in Section 3 not verified in v3 (v3 check column = "UNVERIFIED…")</t>
  </si>
  <si>
    <t xml:space="preserve">R9. EQUITY TIE-OUT — model equity vs reported net worth (live, with static inputs from the brief)</t>
  </si>
  <si>
    <t xml:space="preserve">Model equity at opening (3_Proj C81 = assets − liabilities; a residual)</t>
  </si>
  <si>
    <t xml:space="preserve">Equity is not an input: assets are MODEL ESTIMATES and B57 is a plug, so equity is whatever balances them. This row tests that the estimates, taken together, land near the reported figure.</t>
  </si>
  <si>
    <t xml:space="preserve">Reported net worth, 30-Jun-2026 (₹ cr) — per brief; UNVERIFIED</t>
  </si>
  <si>
    <t xml:space="preserve">Difference: model − reported (₹ cr)</t>
  </si>
  <si>
    <t xml:space="preserve">Difference as % of |reported|</t>
  </si>
  <si>
    <t xml:space="preserve">Tolerance (± %) — MODEL ASSUMPTION</t>
  </si>
  <si>
    <t xml:space="preserve">After the v3 DPO update (+₹3.0k cr spectrum, +₹0.5k cr AGR) liabilities rose and equity fell; the plug was deliberately NOT re-set so the drift stays visible. The −₹38,327 cr figure is from the brief and was not located in the filing.</t>
  </si>
  <si>
    <t xml:space="preserve">Other-liabilities plug (0_Control_Panel B57) that would tie equity exactly (₹ cr)</t>
  </si>
  <si>
    <t xml:space="preserve">Cross-check: BVPS (₹) — Yahoo Finance "mrq", date unconfirmed</t>
  </si>
  <si>
    <t xml:space="preserve">← × shares (B40); UNVERIFIED</t>
  </si>
  <si>
    <t xml:space="preserve">Cross-check: BVPS (₹) — share.market, 5-Oct-2026</t>
  </si>
  <si>
    <t xml:space="preserve">R10. LEASE SANITY — lease liabilities ÷ annual lease rentals (live)</t>
  </si>
  <si>
    <t xml:space="preserve">Lease liabilities (0_Control_Panel B52; MODEL ESTIMATE)</t>
  </si>
  <si>
    <t xml:space="preserve">Annual lease rentals (3_Proj C38)</t>
  </si>
  <si>
    <t xml:space="preserve">Lease liabilities ÷ annual rentals (years)</t>
  </si>
  <si>
    <t xml:space="preserve">Flag if below (years) — MODEL ASSUMPTION</t>
  </si>
  <si>
    <t xml:space="preserve">Flag</t>
  </si>
  <si>
    <t xml:space="preserve">Not changed in v3 (flag only). Lease liabilities enter the model through the Conservative bridge (deducted, as a stress), the liquidation claims and the balance-sheet plug; cash flows use lease RENTALS, which are sourced.</t>
  </si>
  <si>
    <t xml:space="preserve">Right-of-use assets ÷ annual rentals (years)</t>
  </si>
  <si>
    <t xml:space="preserve">Q1 FY27 net finance cost (₹ cr) — call summary; UNVERIFIED</t>
  </si>
  <si>
    <t xml:space="preserve">   of which excluding Ind AS 116 impact (₹ cr)</t>
  </si>
  <si>
    <t xml:space="preserve">   implied Ind AS 116 finance cost, annualised (₹ cr)</t>
  </si>
  <si>
    <t xml:space="preserve">   implied lease liability at the model lease rate (3_Proj B46)</t>
  </si>
  <si>
    <t xml:space="preserve">Cross-check only: the Ind AS 116 finance-cost gap may include items other than tower-lease interest, so treat the implied figure as an order-of-magnitude warning that the ₹19,500 cr estimate is low.</t>
  </si>
  <si>
    <t xml:space="preserve">   implied ÷ modelled lease liability (x)</t>
  </si>
  <si>
    <t xml:space="preserve">R11. FY27 SPECTRUM + AGR INSTALMENT — model (to Mar-2027) vs disclosed (to Jun-2027)</t>
  </si>
  <si>
    <t xml:space="preserve">Disclosed spectrum + AGR due by Jun-2027 (₹ cr) — per brief; UNVERIFIED</t>
  </si>
  <si>
    <t xml:space="preserve">Public cross-check: Business Standard (1-May-2026) and Outlook Business report ~₹7,000 cr FY27, ₹15,000 cr FY28, ₹27,000 cr FY29 spectrum instalments — consistent with B42-B44 but not an exact tie to 7,076.</t>
  </si>
  <si>
    <t xml:space="preserve">Model FY27 spectrum instalment, to Mar-2027 (0_Control_Panel B42)</t>
  </si>
  <si>
    <t xml:space="preserve">Model FY27 AGR instalment (0_Control_Panel B47)</t>
  </si>
  <si>
    <t xml:space="preserve">Model FY27 total, to Mar-2027</t>
  </si>
  <si>
    <t xml:space="preserve">Residual = disclosed − model FY27 (derived; UNVERIFIED)</t>
  </si>
  <si>
    <t xml:space="preserve">The model cuts years at 31-Mar, so this residual falls in FY28 and is assumed to be inside the ~₹15,000 cr FY28 figure (B43), NOT added on top. If it is additional, FY28 DoT cash rises by this amount (Plans B/C/D and the post-moratorium years).</t>
  </si>
  <si>
    <t xml:space="preserve">   residual as % of the model FY28 spectrum instalment (B43)</t>
  </si>
  <si>
    <t xml:space="preserve">Sensitivity: FY27 outflow if all of it fell by Mar-2027 (₹ cr)</t>
  </si>
</sst>
</file>

<file path=xl/styles.xml><?xml version="1.0" encoding="utf-8"?>
<styleSheet xmlns="http://schemas.openxmlformats.org/spreadsheetml/2006/main">
  <numFmts count="17">
    <numFmt numFmtId="164" formatCode="General"/>
    <numFmt numFmtId="165" formatCode="0"/>
    <numFmt numFmtId="166" formatCode="@"/>
    <numFmt numFmtId="167" formatCode="#,##0.00;\(#,##0.00\);\-"/>
    <numFmt numFmtId="168" formatCode="0.0%;\(0.0%\);\-"/>
    <numFmt numFmtId="169" formatCode="#,##0;\(#,##0\);\-"/>
    <numFmt numFmtId="170" formatCode="#,##0.0;\(#,##0.0\);\-"/>
    <numFmt numFmtId="171" formatCode="0.0\x"/>
    <numFmt numFmtId="172" formatCode="0.0&quot; pp&quot;;\(0.0&quot; pp)&quot;;\-"/>
    <numFmt numFmtId="173" formatCode="dd\-mmm\-yy"/>
    <numFmt numFmtId="174" formatCode="0.000%"/>
    <numFmt numFmtId="175" formatCode="0.000"/>
    <numFmt numFmtId="176" formatCode="0.00"/>
    <numFmt numFmtId="177" formatCode="0.000000"/>
    <numFmt numFmtId="178" formatCode="dd\-mmm\-yyyy"/>
    <numFmt numFmtId="179" formatCode="0.00\x"/>
    <numFmt numFmtId="180" formatCode="0.0"/>
  </numFmts>
  <fonts count="16">
    <font>
      <sz val="11"/>
      <color theme="1"/>
      <name val="Calibri"/>
      <family val="2"/>
      <charset val="1"/>
    </font>
    <font>
      <sz val="10"/>
      <name val="Arial"/>
      <family val="0"/>
    </font>
    <font>
      <sz val="10"/>
      <name val="Arial"/>
      <family val="0"/>
    </font>
    <font>
      <sz val="10"/>
      <name val="Arial"/>
      <family val="0"/>
    </font>
    <font>
      <b val="true"/>
      <sz val="13"/>
      <color rgb="FF2F4F4F"/>
      <name val="Arial"/>
      <family val="0"/>
      <charset val="1"/>
    </font>
    <font>
      <sz val="11"/>
      <color theme="1"/>
      <name val="Arial"/>
      <family val="0"/>
      <charset val="1"/>
    </font>
    <font>
      <i val="true"/>
      <sz val="8"/>
      <color rgb="FF595959"/>
      <name val="Arial"/>
      <family val="0"/>
      <charset val="1"/>
    </font>
    <font>
      <b val="true"/>
      <sz val="9"/>
      <color rgb="FFFFFFFF"/>
      <name val="Arial"/>
      <family val="0"/>
      <charset val="1"/>
    </font>
    <font>
      <b val="true"/>
      <sz val="9"/>
      <color rgb="FF000000"/>
      <name val="Arial"/>
      <family val="0"/>
      <charset val="1"/>
    </font>
    <font>
      <sz val="9"/>
      <color rgb="FF0000FF"/>
      <name val="Arial"/>
      <family val="0"/>
      <charset val="1"/>
    </font>
    <font>
      <sz val="9"/>
      <color rgb="FF000000"/>
      <name val="Arial"/>
      <family val="0"/>
      <charset val="1"/>
    </font>
    <font>
      <sz val="8"/>
      <color rgb="FF595959"/>
      <name val="Arial"/>
      <family val="0"/>
      <charset val="1"/>
    </font>
    <font>
      <sz val="10"/>
      <name val="Arial"/>
      <family val="2"/>
    </font>
    <font>
      <b val="true"/>
      <sz val="8"/>
      <color rgb="FF9C5700"/>
      <name val="Arial"/>
      <family val="0"/>
      <charset val="1"/>
    </font>
    <font>
      <i val="true"/>
      <sz val="9"/>
      <color rgb="FF595959"/>
      <name val="Arial"/>
      <family val="0"/>
      <charset val="1"/>
    </font>
    <font>
      <sz val="9"/>
      <color rgb="FF595959"/>
      <name val="Arial"/>
      <family val="0"/>
      <charset val="1"/>
    </font>
  </fonts>
  <fills count="5">
    <fill>
      <patternFill patternType="none"/>
    </fill>
    <fill>
      <patternFill patternType="gray125"/>
    </fill>
    <fill>
      <patternFill patternType="solid">
        <fgColor rgb="FF2F4F4F"/>
        <bgColor rgb="FF595959"/>
      </patternFill>
    </fill>
    <fill>
      <patternFill patternType="solid">
        <fgColor rgb="FFFFFF00"/>
        <bgColor rgb="FFFFFF00"/>
      </patternFill>
    </fill>
    <fill>
      <patternFill patternType="solid">
        <fgColor rgb="FFE8EDED"/>
        <bgColor rgb="FFFFFFFF"/>
      </patternFill>
    </fill>
  </fills>
  <borders count="2">
    <border diagonalUp="false" diagonalDown="false">
      <left/>
      <right/>
      <top/>
      <bottom/>
      <diagonal/>
    </border>
    <border diagonalUp="false" diagonalDown="false">
      <left/>
      <right/>
      <top style="thin">
        <color rgb="FFA6A6A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5" fontId="8" fillId="4"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1"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8" fontId="8" fillId="4" borderId="0" xfId="0" applyFont="true" applyBorder="false" applyAlignment="true" applyProtection="false">
      <alignment horizontal="general" vertical="center" textRotation="0" wrapText="true" indent="0" shrinkToFit="false"/>
      <protection locked="true" hidden="false"/>
    </xf>
    <xf numFmtId="176" fontId="9" fillId="0" borderId="0" xfId="0" applyFont="tru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77"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true" applyProtection="false">
      <alignment horizontal="general" vertical="bottom" textRotation="0" wrapText="false" indent="0" shrinkToFit="false"/>
      <protection locked="true" hidden="false"/>
    </xf>
    <xf numFmtId="179"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79"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80"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C00000"/>
        <sz val="9"/>
      </font>
      <fill>
        <patternFill>
          <bgColor rgb="FFF8D7D7"/>
        </patternFill>
      </fill>
    </dxf>
    <dxf>
      <font>
        <name val="Arial"/>
        <charset val="1"/>
        <family val="0"/>
        <b val="1"/>
        <color rgb="FFC00000"/>
        <sz val="9"/>
      </font>
    </dxf>
    <dxf>
      <font>
        <name val="Arial"/>
        <charset val="1"/>
        <family val="0"/>
        <b val="1"/>
        <color rgb="FFFFFFFF"/>
        <sz val="9"/>
      </font>
      <fill>
        <patternFill>
          <bgColor rgb="FFC00000"/>
        </patternFill>
      </fill>
    </dxf>
    <dxf>
      <font>
        <name val="Arial"/>
        <charset val="1"/>
        <family val="0"/>
        <b val="1"/>
        <color rgb="FFC00000"/>
        <sz val="9"/>
      </font>
      <fill>
        <patternFill>
          <bgColor rgb="FFFFC7CE"/>
        </patternFill>
      </fill>
    </dxf>
    <dxf>
      <font>
        <name val="Arial"/>
        <charset val="1"/>
        <family val="0"/>
        <b val="1"/>
        <color rgb="FFC00000"/>
        <sz val="9"/>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DED"/>
      <rgbColor rgb="FF660066"/>
      <rgbColor rgb="FFFF8080"/>
      <rgbColor rgb="FF0066CC"/>
      <rgbColor rgb="FFF8D7D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A6A6A6"/>
      <rgbColor rgb="FF003366"/>
      <rgbColor rgb="FF339966"/>
      <rgbColor rgb="FF003300"/>
      <rgbColor rgb="FF333300"/>
      <rgbColor rgb="FF9C57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G1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16"/>
    <col collapsed="false" customWidth="true" hidden="false" outlineLevel="0" max="7" min="7" style="1" width="70"/>
  </cols>
  <sheetData>
    <row r="1" customFormat="false" ht="15.75" hidden="false" customHeight="true" outlineLevel="0" collapsed="false">
      <c r="A1" s="2" t="s">
        <v>0</v>
      </c>
      <c r="B1" s="3"/>
      <c r="C1" s="3"/>
      <c r="D1" s="3"/>
      <c r="E1" s="3"/>
      <c r="F1" s="3"/>
    </row>
    <row r="2" customFormat="false" ht="15" hidden="false" customHeight="true" outlineLevel="0" collapsed="false">
      <c r="A2" s="4" t="s">
        <v>1</v>
      </c>
      <c r="B2" s="3"/>
      <c r="C2" s="3"/>
      <c r="D2" s="3"/>
      <c r="E2" s="3"/>
      <c r="F2" s="3"/>
    </row>
    <row r="3" customFormat="false" ht="15" hidden="false" customHeight="true" outlineLevel="0" collapsed="false">
      <c r="A3" s="4" t="s">
        <v>2</v>
      </c>
      <c r="B3" s="3"/>
      <c r="C3" s="3"/>
      <c r="D3" s="3"/>
      <c r="E3" s="3"/>
      <c r="F3" s="3"/>
    </row>
    <row r="4" customFormat="false" ht="15" hidden="false" customHeight="true" outlineLevel="0" collapsed="false">
      <c r="A4" s="5" t="s">
        <v>3</v>
      </c>
      <c r="B4" s="5"/>
      <c r="C4" s="5"/>
      <c r="D4" s="5"/>
      <c r="E4" s="5"/>
      <c r="F4" s="5"/>
    </row>
    <row r="5" customFormat="false" ht="15" hidden="false" customHeight="true" outlineLevel="0" collapsed="false">
      <c r="A5" s="6" t="s">
        <v>4</v>
      </c>
      <c r="B5" s="7" t="n">
        <v>1</v>
      </c>
      <c r="C5" s="3"/>
      <c r="D5" s="3"/>
      <c r="E5" s="3"/>
      <c r="F5" s="3"/>
    </row>
    <row r="6" customFormat="false" ht="15" hidden="false" customHeight="true" outlineLevel="0" collapsed="false">
      <c r="A6" s="8" t="s">
        <v>5</v>
      </c>
      <c r="B6" s="9" t="str">
        <f aca="false">CHOOSE(B5,"Plan A: Govt AGR/Spectrum Equity Swap + Deferral","Plan B: Consensual Out-of-Court Bank Haircut (RBI Prudential Framework ICA)","Plan C: Formal CIRP / Liquidation under IBC s.53","Plan D: Strategic Investor / Asset Sale + 12-month DoT Standstill (no Govt conversion)")</f>
        <v>Plan A: Govt AGR/Spectrum Equity Swap + Deferral</v>
      </c>
      <c r="C6" s="3"/>
      <c r="D6" s="3"/>
      <c r="E6" s="3"/>
      <c r="F6" s="3"/>
    </row>
    <row r="7" customFormat="false" ht="15" hidden="false" customHeight="true" outlineLevel="0" collapsed="false">
      <c r="A7" s="3"/>
      <c r="B7" s="3"/>
      <c r="C7" s="3"/>
      <c r="D7" s="3"/>
      <c r="E7" s="3"/>
      <c r="F7" s="3"/>
    </row>
    <row r="8" customFormat="false" ht="15" hidden="false" customHeight="true" outlineLevel="0" collapsed="false">
      <c r="A8" s="5" t="s">
        <v>6</v>
      </c>
      <c r="B8" s="5"/>
      <c r="C8" s="5"/>
      <c r="D8" s="5"/>
      <c r="E8" s="5"/>
      <c r="F8" s="5"/>
    </row>
    <row r="9" customFormat="false" ht="15" hidden="false" customHeight="true" outlineLevel="0" collapsed="false">
      <c r="A9" s="8" t="s">
        <v>7</v>
      </c>
      <c r="B9" s="10" t="n">
        <v>1</v>
      </c>
      <c r="C9" s="3"/>
      <c r="D9" s="3"/>
      <c r="E9" s="3"/>
      <c r="F9" s="3"/>
    </row>
    <row r="10" customFormat="false" ht="15" hidden="false" customHeight="true" outlineLevel="0" collapsed="false">
      <c r="A10" s="8" t="s">
        <v>8</v>
      </c>
      <c r="B10" s="11" t="n">
        <v>1</v>
      </c>
      <c r="C10" s="3"/>
      <c r="D10" s="3"/>
      <c r="E10" s="3"/>
      <c r="F10" s="3"/>
    </row>
    <row r="11" customFormat="false" ht="15" hidden="false" customHeight="true" outlineLevel="0" collapsed="false">
      <c r="A11" s="8" t="s">
        <v>9</v>
      </c>
      <c r="B11" s="10" t="n">
        <v>2</v>
      </c>
      <c r="C11" s="3"/>
      <c r="D11" s="3"/>
      <c r="E11" s="3"/>
      <c r="F11" s="3"/>
    </row>
    <row r="12" customFormat="false" ht="15" hidden="false" customHeight="true" outlineLevel="0" collapsed="false">
      <c r="A12" s="8" t="s">
        <v>10</v>
      </c>
      <c r="B12" s="12" t="n">
        <v>0.04</v>
      </c>
      <c r="C12" s="3"/>
      <c r="D12" s="3"/>
      <c r="E12" s="3"/>
      <c r="F12" s="3"/>
    </row>
    <row r="13" customFormat="false" ht="15" hidden="false" customHeight="true" outlineLevel="0" collapsed="false">
      <c r="A13" s="8" t="s">
        <v>11</v>
      </c>
      <c r="B13" s="12" t="n">
        <v>0.07</v>
      </c>
      <c r="C13" s="3"/>
      <c r="D13" s="3"/>
      <c r="E13" s="3"/>
      <c r="F13" s="3"/>
    </row>
    <row r="14" customFormat="false" ht="15" hidden="false" customHeight="true" outlineLevel="0" collapsed="false">
      <c r="A14" s="8" t="s">
        <v>12</v>
      </c>
      <c r="B14" s="12" t="n">
        <v>0.11</v>
      </c>
      <c r="C14" s="3"/>
      <c r="D14" s="3"/>
      <c r="E14" s="3"/>
      <c r="F14" s="3"/>
    </row>
    <row r="15" customFormat="false" ht="15" hidden="false" customHeight="true" outlineLevel="0" collapsed="false">
      <c r="A15" s="8" t="s">
        <v>13</v>
      </c>
      <c r="B15" s="13" t="n">
        <f aca="false">CHOOSE($B$11,$B$12,$B$13,$B$14)</f>
        <v>0.07</v>
      </c>
      <c r="C15" s="3"/>
      <c r="D15" s="3"/>
      <c r="E15" s="3"/>
      <c r="F15" s="3"/>
    </row>
    <row r="16" customFormat="false" ht="15" hidden="false" customHeight="true" outlineLevel="0" collapsed="false">
      <c r="A16" s="8" t="s">
        <v>14</v>
      </c>
      <c r="B16" s="12" t="n">
        <v>0.005</v>
      </c>
      <c r="C16" s="3"/>
      <c r="D16" s="3"/>
      <c r="E16" s="3"/>
      <c r="F16" s="3"/>
    </row>
    <row r="17" customFormat="false" ht="15" hidden="false" customHeight="true" outlineLevel="0" collapsed="false">
      <c r="A17" s="8" t="s">
        <v>15</v>
      </c>
      <c r="B17" s="10" t="n">
        <v>1</v>
      </c>
      <c r="C17" s="3"/>
      <c r="D17" s="3"/>
      <c r="E17" s="3"/>
      <c r="F17" s="3"/>
    </row>
    <row r="18" customFormat="false" ht="15" hidden="false" customHeight="true" outlineLevel="0" collapsed="false">
      <c r="A18" s="8" t="s">
        <v>16</v>
      </c>
      <c r="B18" s="10" t="n">
        <v>1</v>
      </c>
      <c r="C18" s="3"/>
      <c r="D18" s="3"/>
      <c r="E18" s="3"/>
      <c r="F18" s="3"/>
    </row>
    <row r="19" customFormat="false" ht="15" hidden="false" customHeight="true" outlineLevel="0" collapsed="false">
      <c r="A19" s="8" t="s">
        <v>17</v>
      </c>
      <c r="B19" s="10" t="n">
        <v>0</v>
      </c>
      <c r="C19" s="3"/>
      <c r="D19" s="3"/>
      <c r="E19" s="3"/>
      <c r="F19" s="3"/>
    </row>
    <row r="20" customFormat="false" ht="15" hidden="false" customHeight="true" outlineLevel="0" collapsed="false">
      <c r="A20" s="8" t="s">
        <v>18</v>
      </c>
      <c r="B20" s="10" t="n">
        <v>200</v>
      </c>
      <c r="C20" s="3"/>
      <c r="D20" s="3"/>
      <c r="E20" s="3"/>
      <c r="F20" s="3"/>
    </row>
    <row r="21" customFormat="false" ht="15" hidden="false" customHeight="true" outlineLevel="0" collapsed="false">
      <c r="A21" s="8" t="s">
        <v>19</v>
      </c>
      <c r="B21" s="10" t="n">
        <v>1</v>
      </c>
      <c r="C21" s="3"/>
      <c r="D21" s="3"/>
      <c r="E21" s="3"/>
      <c r="F21" s="3"/>
    </row>
    <row r="22" customFormat="false" ht="15" hidden="false" customHeight="true" outlineLevel="0" collapsed="false">
      <c r="A22" s="8" t="s">
        <v>20</v>
      </c>
      <c r="B22" s="10" t="n">
        <v>1</v>
      </c>
      <c r="C22" s="3"/>
      <c r="D22" s="3"/>
      <c r="E22" s="3"/>
      <c r="F22" s="3"/>
    </row>
    <row r="23" customFormat="false" ht="15" hidden="false" customHeight="true" outlineLevel="0" collapsed="false">
      <c r="A23" s="8" t="s">
        <v>21</v>
      </c>
      <c r="B23" s="7" t="n">
        <v>2</v>
      </c>
      <c r="C23" s="3"/>
      <c r="D23" s="3"/>
      <c r="E23" s="3"/>
      <c r="F23" s="3"/>
    </row>
    <row r="24" customFormat="false" ht="15" hidden="false" customHeight="true" outlineLevel="0" collapsed="false">
      <c r="A24" s="5" t="s">
        <v>22</v>
      </c>
      <c r="B24" s="5"/>
      <c r="C24" s="5" t="s">
        <v>23</v>
      </c>
      <c r="D24" s="5" t="s">
        <v>24</v>
      </c>
      <c r="E24" s="5" t="s">
        <v>25</v>
      </c>
      <c r="F24" s="5" t="s">
        <v>26</v>
      </c>
    </row>
    <row r="25" customFormat="false" ht="15" hidden="false" customHeight="true" outlineLevel="0" collapsed="false">
      <c r="A25" s="8" t="s">
        <v>27</v>
      </c>
      <c r="B25" s="14" t="n">
        <v>130299</v>
      </c>
      <c r="C25" s="15" t="s">
        <v>28</v>
      </c>
      <c r="D25" s="16" t="n">
        <f aca="false">B25</f>
        <v>130299</v>
      </c>
      <c r="E25" s="17" t="s">
        <v>29</v>
      </c>
      <c r="F25" s="4" t="s">
        <v>30</v>
      </c>
    </row>
    <row r="26" customFormat="false" ht="15" hidden="false" customHeight="true" outlineLevel="0" collapsed="false">
      <c r="A26" s="8" t="s">
        <v>31</v>
      </c>
      <c r="B26" s="14" t="n">
        <v>64046</v>
      </c>
      <c r="C26" s="15" t="s">
        <v>28</v>
      </c>
      <c r="D26" s="16" t="n">
        <f aca="false">B26</f>
        <v>64046</v>
      </c>
      <c r="E26" s="17" t="s">
        <v>32</v>
      </c>
      <c r="F26" s="4" t="s">
        <v>33</v>
      </c>
    </row>
    <row r="27" customFormat="false" ht="15" hidden="false" customHeight="true" outlineLevel="0" collapsed="false">
      <c r="A27" s="8" t="s">
        <v>34</v>
      </c>
      <c r="B27" s="14" t="n">
        <v>25759</v>
      </c>
      <c r="C27" s="15" t="s">
        <v>28</v>
      </c>
      <c r="D27" s="3"/>
      <c r="E27" s="17" t="s">
        <v>29</v>
      </c>
      <c r="F27" s="4" t="s">
        <v>35</v>
      </c>
    </row>
    <row r="28" customFormat="false" ht="15" hidden="false" customHeight="true" outlineLevel="0" collapsed="false">
      <c r="A28" s="8" t="s">
        <v>36</v>
      </c>
      <c r="B28" s="14" t="n">
        <v>211</v>
      </c>
      <c r="C28" s="15" t="s">
        <v>28</v>
      </c>
      <c r="D28" s="16" t="n">
        <f aca="false">B28</f>
        <v>211</v>
      </c>
      <c r="E28" s="17" t="s">
        <v>32</v>
      </c>
      <c r="F28" s="4" t="s">
        <v>37</v>
      </c>
    </row>
    <row r="29" customFormat="false" ht="15" hidden="false" customHeight="true" outlineLevel="0" collapsed="false">
      <c r="A29" s="8" t="s">
        <v>38</v>
      </c>
      <c r="B29" s="14" t="n">
        <v>3300</v>
      </c>
      <c r="C29" s="15" t="s">
        <v>28</v>
      </c>
      <c r="D29" s="16" t="n">
        <f aca="false">B29</f>
        <v>3300</v>
      </c>
      <c r="E29" s="17" t="s">
        <v>39</v>
      </c>
      <c r="F29" s="4" t="s">
        <v>40</v>
      </c>
    </row>
    <row r="30" customFormat="false" ht="15" hidden="false" customHeight="true" outlineLevel="0" collapsed="false">
      <c r="A30" s="8" t="s">
        <v>41</v>
      </c>
      <c r="B30" s="14" t="n">
        <v>6558</v>
      </c>
      <c r="C30" s="15" t="s">
        <v>28</v>
      </c>
      <c r="D30" s="3"/>
      <c r="E30" s="17" t="s">
        <v>32</v>
      </c>
      <c r="F30" s="4" t="s">
        <v>42</v>
      </c>
    </row>
    <row r="31" customFormat="false" ht="15" hidden="false" customHeight="true" outlineLevel="0" collapsed="false">
      <c r="A31" s="8" t="s">
        <v>43</v>
      </c>
      <c r="B31" s="14" t="n">
        <v>11689</v>
      </c>
      <c r="C31" s="15" t="s">
        <v>28</v>
      </c>
      <c r="D31" s="3"/>
      <c r="E31" s="17" t="s">
        <v>32</v>
      </c>
      <c r="F31" s="4" t="s">
        <v>44</v>
      </c>
    </row>
    <row r="32" customFormat="false" ht="15" hidden="false" customHeight="true" outlineLevel="0" collapsed="false">
      <c r="A32" s="8" t="s">
        <v>45</v>
      </c>
      <c r="B32" s="14" t="n">
        <v>5034</v>
      </c>
      <c r="C32" s="15" t="s">
        <v>28</v>
      </c>
      <c r="D32" s="3"/>
      <c r="E32" s="17" t="s">
        <v>32</v>
      </c>
      <c r="F32" s="4" t="s">
        <v>46</v>
      </c>
    </row>
    <row r="33" customFormat="false" ht="15" hidden="false" customHeight="true" outlineLevel="0" collapsed="false">
      <c r="A33" s="8" t="s">
        <v>47</v>
      </c>
      <c r="B33" s="14" t="n">
        <v>2475</v>
      </c>
      <c r="C33" s="15" t="s">
        <v>28</v>
      </c>
      <c r="D33" s="3"/>
      <c r="E33" s="17" t="s">
        <v>32</v>
      </c>
      <c r="F33" s="4" t="s">
        <v>48</v>
      </c>
    </row>
    <row r="34" customFormat="false" ht="15" hidden="false" customHeight="true" outlineLevel="0" collapsed="false">
      <c r="A34" s="8" t="s">
        <v>49</v>
      </c>
      <c r="B34" s="14" t="n">
        <v>1930</v>
      </c>
      <c r="C34" s="15" t="s">
        <v>28</v>
      </c>
      <c r="D34" s="3"/>
      <c r="E34" s="17" t="s">
        <v>32</v>
      </c>
      <c r="F34" s="4" t="s">
        <v>50</v>
      </c>
    </row>
    <row r="35" customFormat="false" ht="15" hidden="false" customHeight="true" outlineLevel="0" collapsed="false">
      <c r="A35" s="8" t="s">
        <v>51</v>
      </c>
      <c r="B35" s="18" t="n">
        <v>193.1</v>
      </c>
      <c r="C35" s="15" t="s">
        <v>28</v>
      </c>
      <c r="D35" s="3"/>
      <c r="E35" s="17" t="s">
        <v>32</v>
      </c>
      <c r="F35" s="4" t="s">
        <v>52</v>
      </c>
    </row>
    <row r="36" customFormat="false" ht="15" hidden="false" customHeight="true" outlineLevel="0" collapsed="false">
      <c r="A36" s="8" t="s">
        <v>53</v>
      </c>
      <c r="B36" s="14" t="n">
        <v>195</v>
      </c>
      <c r="C36" s="15" t="s">
        <v>28</v>
      </c>
      <c r="D36" s="3"/>
      <c r="E36" s="17" t="s">
        <v>32</v>
      </c>
      <c r="F36" s="4" t="s">
        <v>54</v>
      </c>
    </row>
    <row r="37" customFormat="false" ht="15" hidden="false" customHeight="true" outlineLevel="0" collapsed="false">
      <c r="A37" s="8" t="s">
        <v>55</v>
      </c>
      <c r="B37" s="12" t="n">
        <v>0.4899</v>
      </c>
      <c r="C37" s="15" t="s">
        <v>28</v>
      </c>
      <c r="D37" s="3"/>
      <c r="E37" s="17" t="s">
        <v>39</v>
      </c>
      <c r="F37" s="4" t="s">
        <v>56</v>
      </c>
    </row>
    <row r="38" customFormat="false" ht="15" hidden="false" customHeight="true" outlineLevel="0" collapsed="false">
      <c r="A38" s="8" t="s">
        <v>57</v>
      </c>
      <c r="B38" s="11" t="n">
        <v>12.64</v>
      </c>
      <c r="C38" s="15" t="s">
        <v>28</v>
      </c>
      <c r="D38" s="3"/>
      <c r="E38" s="17" t="s">
        <v>58</v>
      </c>
      <c r="F38" s="4" t="s">
        <v>59</v>
      </c>
    </row>
    <row r="39" customFormat="false" ht="15" hidden="false" customHeight="true" outlineLevel="0" collapsed="false">
      <c r="A39" s="8" t="s">
        <v>60</v>
      </c>
      <c r="B39" s="14" t="n">
        <v>136945.6</v>
      </c>
      <c r="C39" s="15" t="s">
        <v>28</v>
      </c>
      <c r="D39" s="3"/>
      <c r="E39" s="17" t="s">
        <v>61</v>
      </c>
      <c r="F39" s="4" t="s">
        <v>62</v>
      </c>
    </row>
    <row r="40" customFormat="false" ht="15" hidden="false" customHeight="true" outlineLevel="0" collapsed="false">
      <c r="A40" s="8" t="s">
        <v>63</v>
      </c>
      <c r="B40" s="16" t="n">
        <f aca="false">$B$39/$B$38</f>
        <v>10834.3037974684</v>
      </c>
      <c r="C40" s="15" t="s">
        <v>28</v>
      </c>
      <c r="D40" s="3"/>
      <c r="E40" s="17" t="s">
        <v>64</v>
      </c>
      <c r="F40" s="4" t="s">
        <v>65</v>
      </c>
    </row>
    <row r="41" customFormat="false" ht="15" hidden="false" customHeight="true" outlineLevel="0" collapsed="false">
      <c r="A41" s="8" t="s">
        <v>66</v>
      </c>
      <c r="B41" s="11" t="n">
        <v>10</v>
      </c>
      <c r="C41" s="15" t="s">
        <v>28</v>
      </c>
      <c r="D41" s="3"/>
      <c r="E41" s="17" t="s">
        <v>67</v>
      </c>
      <c r="F41" s="4" t="s">
        <v>68</v>
      </c>
    </row>
    <row r="42" customFormat="false" ht="15" hidden="false" customHeight="true" outlineLevel="0" collapsed="false">
      <c r="A42" s="8" t="s">
        <v>69</v>
      </c>
      <c r="B42" s="14" t="n">
        <v>7076</v>
      </c>
      <c r="C42" s="15" t="s">
        <v>28</v>
      </c>
      <c r="D42" s="3"/>
      <c r="E42" s="17" t="s">
        <v>70</v>
      </c>
      <c r="F42" s="4" t="s">
        <v>71</v>
      </c>
    </row>
    <row r="43" customFormat="false" ht="15" hidden="false" customHeight="true" outlineLevel="0" collapsed="false">
      <c r="A43" s="8" t="s">
        <v>72</v>
      </c>
      <c r="B43" s="14" t="n">
        <v>15000</v>
      </c>
      <c r="C43" s="15" t="s">
        <v>28</v>
      </c>
      <c r="D43" s="3"/>
      <c r="E43" s="17" t="s">
        <v>73</v>
      </c>
      <c r="F43" s="4" t="s">
        <v>74</v>
      </c>
    </row>
    <row r="44" customFormat="false" ht="15" hidden="false" customHeight="true" outlineLevel="0" collapsed="false">
      <c r="A44" s="8" t="s">
        <v>75</v>
      </c>
      <c r="B44" s="14" t="n">
        <v>27000</v>
      </c>
      <c r="C44" s="15" t="s">
        <v>28</v>
      </c>
      <c r="D44" s="3"/>
      <c r="E44" s="17" t="s">
        <v>73</v>
      </c>
      <c r="F44" s="4" t="s">
        <v>76</v>
      </c>
    </row>
    <row r="45" customFormat="false" ht="15" hidden="false" customHeight="true" outlineLevel="0" collapsed="false">
      <c r="A45" s="8" t="s">
        <v>77</v>
      </c>
      <c r="B45" s="14" t="n">
        <v>18000</v>
      </c>
      <c r="C45" s="15" t="s">
        <v>78</v>
      </c>
      <c r="D45" s="3"/>
      <c r="E45" s="17" t="s">
        <v>79</v>
      </c>
      <c r="F45" s="4" t="s">
        <v>80</v>
      </c>
    </row>
    <row r="46" customFormat="false" ht="15" hidden="false" customHeight="true" outlineLevel="0" collapsed="false">
      <c r="A46" s="8" t="s">
        <v>81</v>
      </c>
      <c r="B46" s="14" t="n">
        <v>18000</v>
      </c>
      <c r="C46" s="15" t="s">
        <v>78</v>
      </c>
      <c r="D46" s="3"/>
      <c r="E46" s="17" t="s">
        <v>79</v>
      </c>
      <c r="F46" s="4" t="s">
        <v>82</v>
      </c>
    </row>
    <row r="47" customFormat="false" ht="15" hidden="false" customHeight="true" outlineLevel="0" collapsed="false">
      <c r="A47" s="8" t="s">
        <v>83</v>
      </c>
      <c r="B47" s="14" t="n">
        <v>124</v>
      </c>
      <c r="C47" s="15" t="s">
        <v>28</v>
      </c>
      <c r="D47" s="3"/>
      <c r="E47" s="17" t="s">
        <v>84</v>
      </c>
      <c r="F47" s="4" t="s">
        <v>85</v>
      </c>
    </row>
    <row r="48" customFormat="false" ht="15" hidden="false" customHeight="true" outlineLevel="0" collapsed="false">
      <c r="A48" s="8" t="s">
        <v>86</v>
      </c>
      <c r="B48" s="14" t="n">
        <v>45000</v>
      </c>
      <c r="C48" s="15" t="s">
        <v>28</v>
      </c>
      <c r="D48" s="3"/>
      <c r="E48" s="17" t="s">
        <v>32</v>
      </c>
      <c r="F48" s="4" t="s">
        <v>87</v>
      </c>
    </row>
    <row r="49" customFormat="false" ht="15" hidden="false" customHeight="true" outlineLevel="0" collapsed="false">
      <c r="A49" s="8" t="s">
        <v>88</v>
      </c>
      <c r="B49" s="14" t="n">
        <v>4000</v>
      </c>
      <c r="C49" s="15" t="s">
        <v>78</v>
      </c>
      <c r="D49" s="3"/>
      <c r="E49" s="17" t="s">
        <v>79</v>
      </c>
      <c r="F49" s="4" t="s">
        <v>89</v>
      </c>
    </row>
    <row r="50" customFormat="false" ht="15" hidden="false" customHeight="true" outlineLevel="0" collapsed="false">
      <c r="A50" s="8" t="s">
        <v>90</v>
      </c>
      <c r="B50" s="11" t="n">
        <v>88</v>
      </c>
      <c r="C50" s="15" t="s">
        <v>78</v>
      </c>
      <c r="D50" s="3"/>
      <c r="E50" s="17" t="s">
        <v>79</v>
      </c>
      <c r="F50" s="4" t="s">
        <v>91</v>
      </c>
    </row>
    <row r="51" customFormat="false" ht="15" hidden="false" customHeight="true" outlineLevel="0" collapsed="false">
      <c r="A51" s="8" t="s">
        <v>92</v>
      </c>
      <c r="B51" s="19" t="n">
        <f aca="false">$B$49*10/$B$50</f>
        <v>454.545454545455</v>
      </c>
      <c r="C51" s="15" t="s">
        <v>93</v>
      </c>
      <c r="D51" s="3"/>
      <c r="E51" s="17" t="s">
        <v>93</v>
      </c>
      <c r="F51" s="4" t="s">
        <v>94</v>
      </c>
    </row>
    <row r="52" customFormat="false" ht="15" hidden="false" customHeight="true" outlineLevel="0" collapsed="false">
      <c r="A52" s="8" t="s">
        <v>95</v>
      </c>
      <c r="B52" s="14" t="n">
        <v>19500</v>
      </c>
      <c r="C52" s="15" t="s">
        <v>78</v>
      </c>
      <c r="D52" s="16" t="n">
        <f aca="false">B52</f>
        <v>19500</v>
      </c>
      <c r="E52" s="17" t="s">
        <v>79</v>
      </c>
      <c r="F52" s="4" t="s">
        <v>96</v>
      </c>
    </row>
    <row r="53" customFormat="false" ht="15" hidden="false" customHeight="true" outlineLevel="0" collapsed="false">
      <c r="A53" s="8" t="s">
        <v>97</v>
      </c>
      <c r="B53" s="14" t="n">
        <v>2800</v>
      </c>
      <c r="C53" s="15" t="s">
        <v>78</v>
      </c>
      <c r="D53" s="16" t="n">
        <f aca="false">B53</f>
        <v>2800</v>
      </c>
      <c r="E53" s="17" t="s">
        <v>79</v>
      </c>
      <c r="F53" s="4" t="s">
        <v>98</v>
      </c>
    </row>
    <row r="54" customFormat="false" ht="15" hidden="false" customHeight="true" outlineLevel="0" collapsed="false">
      <c r="A54" s="8" t="s">
        <v>99</v>
      </c>
      <c r="B54" s="14" t="n">
        <v>5500</v>
      </c>
      <c r="C54" s="15" t="s">
        <v>78</v>
      </c>
      <c r="D54" s="16" t="n">
        <f aca="false">B54</f>
        <v>5500</v>
      </c>
      <c r="E54" s="17" t="s">
        <v>79</v>
      </c>
      <c r="F54" s="4" t="s">
        <v>100</v>
      </c>
    </row>
    <row r="55" customFormat="false" ht="15" hidden="false" customHeight="true" outlineLevel="0" collapsed="false">
      <c r="A55" s="8" t="s">
        <v>101</v>
      </c>
      <c r="B55" s="14" t="n">
        <v>3200</v>
      </c>
      <c r="C55" s="15" t="s">
        <v>78</v>
      </c>
      <c r="D55" s="16" t="n">
        <f aca="false">B55</f>
        <v>3200</v>
      </c>
      <c r="E55" s="17" t="s">
        <v>79</v>
      </c>
      <c r="F55" s="4" t="s">
        <v>102</v>
      </c>
    </row>
    <row r="56" customFormat="false" ht="15" hidden="false" customHeight="true" outlineLevel="0" collapsed="false">
      <c r="A56" s="8" t="s">
        <v>103</v>
      </c>
      <c r="B56" s="16" t="n">
        <f aca="false">$B$53+$B$54+$B$55</f>
        <v>11500</v>
      </c>
      <c r="C56" s="15" t="s">
        <v>93</v>
      </c>
      <c r="D56" s="3"/>
      <c r="E56" s="17" t="s">
        <v>104</v>
      </c>
      <c r="F56" s="4" t="s">
        <v>105</v>
      </c>
    </row>
    <row r="57" customFormat="false" ht="15" hidden="false" customHeight="true" outlineLevel="0" collapsed="false">
      <c r="A57" s="8" t="s">
        <v>106</v>
      </c>
      <c r="B57" s="14" t="n">
        <v>22000</v>
      </c>
      <c r="C57" s="15" t="s">
        <v>107</v>
      </c>
      <c r="D57" s="16" t="n">
        <f aca="false">B57</f>
        <v>22000</v>
      </c>
      <c r="E57" s="17" t="s">
        <v>108</v>
      </c>
      <c r="F57" s="4" t="s">
        <v>109</v>
      </c>
    </row>
    <row r="58" customFormat="false" ht="15" hidden="false" customHeight="true" outlineLevel="0" collapsed="false">
      <c r="A58" s="8" t="s">
        <v>110</v>
      </c>
      <c r="B58" s="14" t="n">
        <v>25000</v>
      </c>
      <c r="C58" s="15" t="s">
        <v>78</v>
      </c>
      <c r="D58" s="3"/>
      <c r="E58" s="17" t="s">
        <v>111</v>
      </c>
      <c r="F58" s="4" t="s">
        <v>112</v>
      </c>
    </row>
    <row r="59" customFormat="false" ht="15" hidden="false" customHeight="true" outlineLevel="0" collapsed="false">
      <c r="A59" s="8" t="s">
        <v>113</v>
      </c>
      <c r="B59" s="14" t="n">
        <v>2400</v>
      </c>
      <c r="C59" s="15" t="s">
        <v>78</v>
      </c>
      <c r="D59" s="3"/>
      <c r="E59" s="17" t="s">
        <v>79</v>
      </c>
      <c r="F59" s="4" t="s">
        <v>102</v>
      </c>
    </row>
    <row r="60" customFormat="false" ht="15" hidden="false" customHeight="true" outlineLevel="0" collapsed="false">
      <c r="A60" s="8" t="s">
        <v>114</v>
      </c>
      <c r="B60" s="14" t="n">
        <v>14500</v>
      </c>
      <c r="C60" s="15" t="s">
        <v>78</v>
      </c>
      <c r="D60" s="3"/>
      <c r="E60" s="17" t="s">
        <v>79</v>
      </c>
      <c r="F60" s="4" t="s">
        <v>102</v>
      </c>
    </row>
    <row r="61" customFormat="false" ht="15" hidden="false" customHeight="true" outlineLevel="0" collapsed="false">
      <c r="A61" s="8" t="s">
        <v>115</v>
      </c>
      <c r="B61" s="14" t="n">
        <v>38000</v>
      </c>
      <c r="C61" s="15" t="s">
        <v>78</v>
      </c>
      <c r="D61" s="3"/>
      <c r="E61" s="17" t="s">
        <v>79</v>
      </c>
      <c r="F61" s="4" t="s">
        <v>102</v>
      </c>
    </row>
    <row r="62" customFormat="false" ht="15" hidden="false" customHeight="true" outlineLevel="0" collapsed="false">
      <c r="A62" s="8" t="s">
        <v>116</v>
      </c>
      <c r="B62" s="14" t="n">
        <v>95000</v>
      </c>
      <c r="C62" s="15" t="s">
        <v>78</v>
      </c>
      <c r="D62" s="3"/>
      <c r="E62" s="17" t="s">
        <v>79</v>
      </c>
      <c r="F62" s="4" t="s">
        <v>102</v>
      </c>
    </row>
    <row r="63" customFormat="false" ht="15" hidden="false" customHeight="true" outlineLevel="0" collapsed="false">
      <c r="A63" s="8" t="s">
        <v>117</v>
      </c>
      <c r="B63" s="14" t="n">
        <v>15000</v>
      </c>
      <c r="C63" s="15" t="s">
        <v>78</v>
      </c>
      <c r="D63" s="3"/>
      <c r="E63" s="17" t="s">
        <v>79</v>
      </c>
      <c r="F63" s="4" t="s">
        <v>102</v>
      </c>
    </row>
    <row r="64" customFormat="false" ht="15" hidden="false" customHeight="true" outlineLevel="0" collapsed="false">
      <c r="A64" s="6" t="s">
        <v>118</v>
      </c>
      <c r="B64" s="20" t="n">
        <f aca="false">$B$25+$B$27+$B$28+$B$29+$B$52+$B$56+$B$57</f>
        <v>212569</v>
      </c>
      <c r="C64" s="15" t="s">
        <v>93</v>
      </c>
      <c r="D64" s="3"/>
      <c r="E64" s="17" t="s">
        <v>93</v>
      </c>
      <c r="F64" s="4" t="s">
        <v>119</v>
      </c>
    </row>
    <row r="65" customFormat="false" ht="15" hidden="false" customHeight="true" outlineLevel="0" collapsed="false">
      <c r="A65" s="6" t="s">
        <v>120</v>
      </c>
      <c r="B65" s="20" t="n">
        <f aca="false">$B$25+$B$26+$B$28+$B$29+$B$52+$B$56+$B$57</f>
        <v>250856</v>
      </c>
      <c r="C65" s="15" t="s">
        <v>93</v>
      </c>
      <c r="D65" s="20" t="n">
        <f aca="false">SUM(D25:D63)</f>
        <v>250856</v>
      </c>
      <c r="E65" s="17" t="str">
        <f aca="false">IF(ROUND(D65-B65,2)=0,"D65 ties to B65","CHECK: D65 &lt;&gt; B65")</f>
        <v>D65 ties to B65</v>
      </c>
      <c r="F65" s="4" t="s">
        <v>121</v>
      </c>
    </row>
    <row r="66" customFormat="false" ht="15" hidden="false" customHeight="true" outlineLevel="0" collapsed="false">
      <c r="A66" s="4" t="str">
        <f aca="false">"   Claims by class (B65): Sourced "&amp;TEXT('6_Reconciliations'!$C$213,"0.0%")&amp;" · Model estimate "&amp;TEXT('6_Reconciliations'!$C$214,"0.0%")&amp;" · Plug "&amp;TEXT('6_Reconciliations'!$C$215,"0.0%")&amp;" — see 6_Reconciliations R8"</f>
        <v>   Claims by class (B65): Sourced 78.9% · Model estimate 12.4% · Plug 8.8% — see 6_Reconciliations R8</v>
      </c>
      <c r="B66" s="3"/>
      <c r="C66" s="3"/>
      <c r="D66" s="3"/>
      <c r="E66" s="3"/>
      <c r="F66" s="3"/>
    </row>
    <row r="67" customFormat="false" ht="15" hidden="false" customHeight="true" outlineLevel="0" collapsed="false">
      <c r="A67" s="5" t="s">
        <v>122</v>
      </c>
      <c r="B67" s="5"/>
      <c r="C67" s="5"/>
      <c r="D67" s="5"/>
      <c r="E67" s="5"/>
      <c r="F67" s="5"/>
    </row>
    <row r="68" customFormat="false" ht="15" hidden="false" customHeight="true" outlineLevel="0" collapsed="false">
      <c r="A68" s="21" t="s">
        <v>123</v>
      </c>
      <c r="B68" s="21" t="s">
        <v>124</v>
      </c>
      <c r="C68" s="21" t="s">
        <v>125</v>
      </c>
      <c r="D68" s="21" t="s">
        <v>126</v>
      </c>
      <c r="E68" s="21" t="s">
        <v>127</v>
      </c>
      <c r="F68" s="21" t="s">
        <v>128</v>
      </c>
      <c r="G68" s="21" t="s">
        <v>129</v>
      </c>
    </row>
    <row r="69" customFormat="false" ht="15" hidden="false" customHeight="true" outlineLevel="0" collapsed="false">
      <c r="A69" s="8" t="s">
        <v>130</v>
      </c>
      <c r="B69" s="12" t="n">
        <v>0.25</v>
      </c>
      <c r="C69" s="12" t="n">
        <v>0</v>
      </c>
      <c r="D69" s="12" t="n">
        <v>0</v>
      </c>
      <c r="E69" s="13" t="n">
        <f aca="false">CHOOSE($B$5,B69,C69,D69,F69)</f>
        <v>0.25</v>
      </c>
      <c r="F69" s="12" t="n">
        <v>0</v>
      </c>
      <c r="G69" s="17" t="s">
        <v>131</v>
      </c>
    </row>
    <row r="70" customFormat="false" ht="15" hidden="false" customHeight="true" outlineLevel="0" collapsed="false">
      <c r="A70" s="8" t="s">
        <v>132</v>
      </c>
      <c r="B70" s="12" t="n">
        <v>0.2</v>
      </c>
      <c r="C70" s="12" t="n">
        <v>0</v>
      </c>
      <c r="D70" s="12" t="n">
        <v>0</v>
      </c>
      <c r="E70" s="13" t="n">
        <f aca="false">CHOOSE($B$5,B70,C70,D70,F70)</f>
        <v>0.2</v>
      </c>
      <c r="F70" s="12" t="n">
        <v>0</v>
      </c>
      <c r="G70" s="17" t="s">
        <v>133</v>
      </c>
    </row>
    <row r="71" customFormat="false" ht="15" hidden="false" customHeight="true" outlineLevel="0" collapsed="false">
      <c r="A71" s="8" t="s">
        <v>134</v>
      </c>
      <c r="B71" s="11" t="n">
        <v>10</v>
      </c>
      <c r="C71" s="11" t="n">
        <v>10</v>
      </c>
      <c r="D71" s="11" t="n">
        <v>10</v>
      </c>
      <c r="E71" s="22" t="n">
        <f aca="false">MAX(CHOOSE($B$5,B71,C71,D71,F71),$B$41)</f>
        <v>10</v>
      </c>
      <c r="F71" s="11" t="n">
        <v>10</v>
      </c>
      <c r="G71" s="17" t="s">
        <v>135</v>
      </c>
    </row>
    <row r="72" customFormat="false" ht="15" hidden="false" customHeight="true" outlineLevel="0" collapsed="false">
      <c r="A72" s="8" t="s">
        <v>136</v>
      </c>
      <c r="B72" s="10" t="n">
        <v>4</v>
      </c>
      <c r="C72" s="10" t="n">
        <v>0</v>
      </c>
      <c r="D72" s="10" t="n">
        <v>2</v>
      </c>
      <c r="E72" s="23" t="n">
        <f aca="false">CHOOSE($B$5,B72,C72,D72,F72)</f>
        <v>4</v>
      </c>
      <c r="F72" s="10" t="n">
        <v>1</v>
      </c>
      <c r="G72" s="17" t="s">
        <v>137</v>
      </c>
    </row>
    <row r="73" customFormat="false" ht="15" hidden="false" customHeight="true" outlineLevel="0" collapsed="false">
      <c r="A73" s="8" t="s">
        <v>138</v>
      </c>
      <c r="B73" s="12" t="n">
        <v>0.075</v>
      </c>
      <c r="C73" s="12" t="n">
        <v>0.09</v>
      </c>
      <c r="D73" s="12" t="n">
        <v>0.09</v>
      </c>
      <c r="E73" s="13" t="n">
        <f aca="false">CHOOSE($B$5,B73,C73,D73,F73)</f>
        <v>0.075</v>
      </c>
      <c r="F73" s="12" t="n">
        <v>0.09</v>
      </c>
      <c r="G73" s="17" t="s">
        <v>139</v>
      </c>
    </row>
    <row r="74" customFormat="false" ht="15" hidden="false" customHeight="true" outlineLevel="0" collapsed="false">
      <c r="A74" s="8" t="s">
        <v>140</v>
      </c>
      <c r="B74" s="10" t="n">
        <v>2</v>
      </c>
      <c r="C74" s="10" t="n">
        <v>1</v>
      </c>
      <c r="D74" s="10" t="n">
        <v>2</v>
      </c>
      <c r="E74" s="23" t="n">
        <f aca="false">CHOOSE($B$5,B74,C74,D74,F74)</f>
        <v>2</v>
      </c>
      <c r="F74" s="10" t="n">
        <v>2</v>
      </c>
      <c r="G74" s="17" t="s">
        <v>141</v>
      </c>
    </row>
    <row r="75" customFormat="false" ht="15" hidden="false" customHeight="true" outlineLevel="0" collapsed="false">
      <c r="A75" s="8" t="s">
        <v>142</v>
      </c>
      <c r="B75" s="12" t="n">
        <v>0</v>
      </c>
      <c r="C75" s="12" t="n">
        <v>0.4</v>
      </c>
      <c r="D75" s="12" t="n">
        <v>0</v>
      </c>
      <c r="E75" s="13" t="n">
        <f aca="false">CHOOSE($B$5,B75,C75,D75,F75)</f>
        <v>0</v>
      </c>
      <c r="F75" s="12" t="n">
        <v>0</v>
      </c>
      <c r="G75" s="17" t="s">
        <v>143</v>
      </c>
    </row>
    <row r="76" customFormat="false" ht="15" hidden="false" customHeight="true" outlineLevel="0" collapsed="false">
      <c r="A76" s="8" t="s">
        <v>144</v>
      </c>
      <c r="B76" s="12" t="n">
        <v>0</v>
      </c>
      <c r="C76" s="12" t="n">
        <v>0.25</v>
      </c>
      <c r="D76" s="12" t="n">
        <v>0</v>
      </c>
      <c r="E76" s="13" t="n">
        <f aca="false">CHOOSE($B$5,B76,C76,D76,F76)</f>
        <v>0</v>
      </c>
      <c r="F76" s="12" t="n">
        <v>0</v>
      </c>
      <c r="G76" s="4" t="s">
        <v>145</v>
      </c>
    </row>
    <row r="77" customFormat="false" ht="15" hidden="false" customHeight="true" outlineLevel="0" collapsed="false">
      <c r="A77" s="8" t="s">
        <v>146</v>
      </c>
      <c r="B77" s="12" t="n">
        <v>0</v>
      </c>
      <c r="C77" s="12" t="n">
        <v>0.15</v>
      </c>
      <c r="D77" s="12" t="n">
        <v>0</v>
      </c>
      <c r="E77" s="13" t="n">
        <f aca="false">CHOOSE($B$5,B77,C77,D77,F77)</f>
        <v>0</v>
      </c>
      <c r="F77" s="12" t="n">
        <v>0</v>
      </c>
      <c r="G77" s="4" t="s">
        <v>147</v>
      </c>
    </row>
    <row r="78" customFormat="false" ht="15" hidden="false" customHeight="true" outlineLevel="0" collapsed="false">
      <c r="A78" s="8" t="s">
        <v>148</v>
      </c>
      <c r="B78" s="12" t="n">
        <v>0.1</v>
      </c>
      <c r="C78" s="12" t="n">
        <v>0.3</v>
      </c>
      <c r="D78" s="12" t="n">
        <v>0.5</v>
      </c>
      <c r="E78" s="13" t="n">
        <f aca="false">CHOOSE($B$5,B78,C78,D78,F78)</f>
        <v>0.1</v>
      </c>
      <c r="F78" s="12" t="n">
        <v>0.1</v>
      </c>
      <c r="G78" s="17" t="s">
        <v>149</v>
      </c>
    </row>
    <row r="79" customFormat="false" ht="15" hidden="false" customHeight="true" outlineLevel="0" collapsed="false">
      <c r="A79" s="8" t="s">
        <v>150</v>
      </c>
      <c r="B79" s="12" t="n">
        <v>0</v>
      </c>
      <c r="C79" s="12" t="n">
        <v>0.03</v>
      </c>
      <c r="D79" s="12" t="n">
        <v>0.15</v>
      </c>
      <c r="E79" s="13" t="n">
        <f aca="false">CHOOSE($B$5,B79,C79,D79,F79)</f>
        <v>0</v>
      </c>
      <c r="F79" s="12" t="n">
        <v>0.03</v>
      </c>
      <c r="G79" s="17" t="s">
        <v>151</v>
      </c>
    </row>
    <row r="80" customFormat="false" ht="15" hidden="false" customHeight="true" outlineLevel="0" collapsed="false">
      <c r="A80" s="8" t="s">
        <v>152</v>
      </c>
      <c r="B80" s="10" t="n">
        <v>5</v>
      </c>
      <c r="C80" s="10" t="n">
        <v>5</v>
      </c>
      <c r="D80" s="10" t="n">
        <v>0</v>
      </c>
      <c r="E80" s="23" t="n">
        <f aca="false">CHOOSE($B$5,B80,C80,D80,F80)</f>
        <v>5</v>
      </c>
      <c r="F80" s="10" t="n">
        <v>5</v>
      </c>
      <c r="G80" s="17" t="s">
        <v>153</v>
      </c>
    </row>
    <row r="81" customFormat="false" ht="15" hidden="false" customHeight="true" outlineLevel="0" collapsed="false">
      <c r="A81" s="8" t="s">
        <v>154</v>
      </c>
      <c r="B81" s="14" t="n">
        <v>15000</v>
      </c>
      <c r="C81" s="14" t="n">
        <v>7500</v>
      </c>
      <c r="D81" s="14" t="n">
        <v>0</v>
      </c>
      <c r="E81" s="20" t="n">
        <f aca="false">CHOOSE($B$5,B81,C81,D81,F81)</f>
        <v>15000</v>
      </c>
      <c r="F81" s="14" t="n">
        <v>30000</v>
      </c>
      <c r="G81" s="17" t="s">
        <v>155</v>
      </c>
    </row>
    <row r="82" customFormat="false" ht="15" hidden="false" customHeight="true" outlineLevel="0" collapsed="false">
      <c r="A82" s="8" t="s">
        <v>156</v>
      </c>
      <c r="B82" s="11" t="n">
        <v>12</v>
      </c>
      <c r="C82" s="11" t="n">
        <v>10</v>
      </c>
      <c r="D82" s="11" t="n">
        <v>10</v>
      </c>
      <c r="E82" s="22" t="n">
        <f aca="false">MAX(CHOOSE($B$5,B82,C82,D82,F82),$B$41)</f>
        <v>12</v>
      </c>
      <c r="F82" s="24" t="n">
        <f aca="false">$B$38</f>
        <v>12.64</v>
      </c>
      <c r="G82" s="17" t="s">
        <v>157</v>
      </c>
    </row>
    <row r="83" customFormat="false" ht="15" hidden="false" customHeight="true" outlineLevel="0" collapsed="false">
      <c r="A83" s="8" t="s">
        <v>158</v>
      </c>
      <c r="B83" s="12" t="n">
        <v>0.6</v>
      </c>
      <c r="C83" s="12" t="n">
        <v>0.3</v>
      </c>
      <c r="D83" s="12" t="n">
        <v>0</v>
      </c>
      <c r="E83" s="13" t="n">
        <f aca="false">CHOOSE($B$5,B83,C83,D83,F83)</f>
        <v>0.6</v>
      </c>
      <c r="F83" s="12" t="n">
        <v>0.3</v>
      </c>
      <c r="G83" s="17" t="s">
        <v>159</v>
      </c>
    </row>
    <row r="84" customFormat="false" ht="15" hidden="false" customHeight="true" outlineLevel="0" collapsed="false">
      <c r="A84" s="8" t="s">
        <v>160</v>
      </c>
      <c r="B84" s="10" t="n">
        <v>0</v>
      </c>
      <c r="C84" s="10" t="n">
        <v>1</v>
      </c>
      <c r="D84" s="10" t="n">
        <v>1</v>
      </c>
      <c r="E84" s="23" t="n">
        <f aca="false">CHOOSE($B$5,B84,C84,D84,F84)</f>
        <v>0</v>
      </c>
      <c r="F84" s="10" t="n">
        <v>0</v>
      </c>
      <c r="G84" s="17" t="s">
        <v>161</v>
      </c>
    </row>
    <row r="85" customFormat="false" ht="15" hidden="false" customHeight="true" outlineLevel="0" collapsed="false">
      <c r="A85" s="8" t="s">
        <v>162</v>
      </c>
      <c r="B85" s="14" t="n">
        <v>150</v>
      </c>
      <c r="C85" s="14" t="n">
        <v>300</v>
      </c>
      <c r="D85" s="14" t="n">
        <v>2500</v>
      </c>
      <c r="E85" s="20" t="n">
        <f aca="false">CHOOSE($B$5,B85,C85,D85,F85)</f>
        <v>150</v>
      </c>
      <c r="F85" s="14" t="n">
        <v>300</v>
      </c>
      <c r="G85" s="17" t="s">
        <v>163</v>
      </c>
    </row>
    <row r="86" customFormat="false" ht="15" hidden="false" customHeight="true" outlineLevel="0" collapsed="false">
      <c r="A86" s="8" t="s">
        <v>164</v>
      </c>
      <c r="B86" s="10" t="n">
        <v>6</v>
      </c>
      <c r="C86" s="10" t="n">
        <v>9</v>
      </c>
      <c r="D86" s="10" t="n">
        <v>24</v>
      </c>
      <c r="E86" s="23" t="n">
        <f aca="false">CHOOSE($B$5,B86,C86,D86,F86)</f>
        <v>6</v>
      </c>
      <c r="F86" s="10" t="n">
        <v>9</v>
      </c>
      <c r="G86" s="17" t="s">
        <v>165</v>
      </c>
    </row>
    <row r="87" customFormat="false" ht="15" hidden="false" customHeight="true" outlineLevel="0" collapsed="false">
      <c r="A87" s="8" t="s">
        <v>166</v>
      </c>
      <c r="B87" s="10" t="n">
        <v>1</v>
      </c>
      <c r="C87" s="10" t="n">
        <v>1</v>
      </c>
      <c r="D87" s="10" t="n">
        <v>0</v>
      </c>
      <c r="E87" s="23" t="n">
        <f aca="false">CHOOSE($B$5,B87,C87,D87,F87)</f>
        <v>1</v>
      </c>
      <c r="F87" s="10" t="n">
        <v>1</v>
      </c>
      <c r="G87" s="4"/>
    </row>
    <row r="88" customFormat="false" ht="15" hidden="false" customHeight="true" outlineLevel="0" collapsed="false">
      <c r="A88" s="8" t="s">
        <v>167</v>
      </c>
      <c r="B88" s="12" t="n">
        <v>0.49</v>
      </c>
      <c r="C88" s="12" t="n">
        <v>0.49</v>
      </c>
      <c r="D88" s="12" t="n">
        <v>0.49</v>
      </c>
      <c r="E88" s="13" t="n">
        <f aca="false">CHOOSE($B$5,B88,C88,D88,F88)</f>
        <v>0.49</v>
      </c>
      <c r="F88" s="12" t="n">
        <v>0.49</v>
      </c>
      <c r="G88" s="4" t="s">
        <v>168</v>
      </c>
    </row>
    <row r="89" customFormat="false" ht="15" hidden="false" customHeight="true" outlineLevel="0" collapsed="false">
      <c r="A89" s="8" t="s">
        <v>169</v>
      </c>
      <c r="B89" s="14" t="n">
        <v>0</v>
      </c>
      <c r="C89" s="14" t="n">
        <v>0</v>
      </c>
      <c r="D89" s="14" t="n">
        <v>0</v>
      </c>
      <c r="E89" s="20" t="n">
        <f aca="false">CHOOSE($B$5,B89,C89,D89,F89)</f>
        <v>0</v>
      </c>
      <c r="F89" s="14" t="n">
        <v>0</v>
      </c>
      <c r="G89" s="17" t="s">
        <v>170</v>
      </c>
    </row>
    <row r="90" customFormat="false" ht="15" hidden="false" customHeight="true" outlineLevel="0" collapsed="false">
      <c r="A90" s="5" t="s">
        <v>171</v>
      </c>
      <c r="B90" s="5"/>
      <c r="C90" s="5"/>
      <c r="D90" s="5"/>
      <c r="E90" s="5"/>
      <c r="F90" s="5"/>
    </row>
    <row r="91" customFormat="false" ht="15" hidden="false" customHeight="true" outlineLevel="0" collapsed="false">
      <c r="A91" s="6" t="s">
        <v>172</v>
      </c>
      <c r="B91" s="9" t="str">
        <f aca="false">B6</f>
        <v>Plan A: Govt AGR/Spectrum Equity Swap + Deferral</v>
      </c>
      <c r="C91" s="3"/>
      <c r="D91" s="3"/>
      <c r="E91" s="3"/>
      <c r="F91" s="3"/>
    </row>
    <row r="92" customFormat="false" ht="15" hidden="false" customHeight="true" outlineLevel="0" collapsed="false">
      <c r="A92" s="6" t="s">
        <v>173</v>
      </c>
      <c r="B92" s="20" t="n">
        <f aca="false">'1_TWCF_13_Week_Liquidity'!$B$75</f>
        <v>3000.02794456231</v>
      </c>
      <c r="C92" s="3"/>
      <c r="D92" s="3"/>
      <c r="E92" s="3"/>
      <c r="F92" s="3"/>
    </row>
    <row r="93" customFormat="false" ht="15" hidden="false" customHeight="true" outlineLevel="0" collapsed="false">
      <c r="A93" s="6" t="s">
        <v>174</v>
      </c>
      <c r="B93" s="23" t="n">
        <f aca="false">'1_TWCF_13_Week_Liquidity'!$B$77</f>
        <v>5</v>
      </c>
      <c r="C93" s="3"/>
      <c r="D93" s="3"/>
      <c r="E93" s="3"/>
      <c r="F93" s="3"/>
    </row>
    <row r="94" customFormat="false" ht="15" hidden="false" customHeight="true" outlineLevel="0" collapsed="false">
      <c r="A94" s="6" t="s">
        <v>175</v>
      </c>
      <c r="B94" s="23" t="n">
        <f aca="false">'1_TWCF_13_Week_Liquidity'!$B$78</f>
        <v>5</v>
      </c>
      <c r="C94" s="3"/>
      <c r="D94" s="3"/>
      <c r="E94" s="3"/>
      <c r="F94" s="3"/>
    </row>
    <row r="95" customFormat="false" ht="94.5" hidden="false" customHeight="true" outlineLevel="0" collapsed="false">
      <c r="A95" s="6" t="s">
        <v>176</v>
      </c>
      <c r="B95" s="9" t="str">
        <f aca="false">'1_TWCF_13_Week_Liquidity'!$B$80</f>
        <v>BREACH of ₹40 bn floor — liquidity action required</v>
      </c>
      <c r="C95" s="3"/>
      <c r="D95" s="3"/>
      <c r="E95" s="3"/>
      <c r="F95" s="3"/>
      <c r="G95" s="25" t="str">
        <f aca="false">IF(AND('1_TWCF_13_Week_Liquidity'!$B$24=0,'1_TWCF_13_Week_Liquidity'!$B$29=0),"WHY THIS CAN CONTRADICT THE 5-YEAR VIEW: the 13-week window excludes restructuring relief (1_TWCF B24 = 0, so the week-10 DoT instalment is still paid) and new money (B29 = 0, no SBI draw). Plan A can therefore show a breach here while the 5-year model (rows 101-103) — which assumes the moratorium and ₹30,000 cr new money from FY27 — shows ample cash. They answer different questions: (1) can VIL bridge to the deal unaided; (2) is the post-deal structure fundable.","Window now includes relief and/or new money (1_TWCF B24 / B29 changed): the status-quo explanation in v3 no longer applies — compare like with like.")</f>
        <v>WHY THIS CAN CONTRADICT THE 5-YEAR VIEW: the 13-week window excludes restructuring relief (1_TWCF B24 = 0, so the week-10 DoT instalment is still paid) and new money (B29 = 0, no SBI draw). Plan A can therefore show a breach here while the 5-year model (rows 101-103) — which assumes the moratorium and ₹30,000 cr new money from FY27 — shows ample cash. They answer different questions: (1) can VIL bridge to the deal unaided; (2) is the post-deal structure fundable.</v>
      </c>
    </row>
    <row r="96" customFormat="false" ht="15" hidden="false" customHeight="true" outlineLevel="0" collapsed="false">
      <c r="A96" s="6" t="s">
        <v>177</v>
      </c>
      <c r="B96" s="23" t="n">
        <f aca="false">'2_Capital_Structure_Waterfall'!$B$8</f>
        <v>0</v>
      </c>
      <c r="C96" s="3"/>
      <c r="D96" s="3"/>
      <c r="E96" s="3"/>
      <c r="F96" s="3"/>
    </row>
    <row r="97" customFormat="false" ht="15" hidden="false" customHeight="true" outlineLevel="0" collapsed="false">
      <c r="A97" s="6" t="s">
        <v>178</v>
      </c>
      <c r="B97" s="20" t="n">
        <f aca="false">'2_Capital_Structure_Waterfall'!$N$25</f>
        <v>42071.3</v>
      </c>
      <c r="C97" s="3"/>
      <c r="D97" s="3"/>
      <c r="E97" s="3"/>
      <c r="F97" s="3"/>
    </row>
    <row r="98" customFormat="false" ht="15" hidden="false" customHeight="true" outlineLevel="0" collapsed="false">
      <c r="A98" s="6" t="s">
        <v>179</v>
      </c>
      <c r="B98" s="20" t="n">
        <f aca="false">SUM('2_Capital_Structure_Waterfall'!D90:H90)</f>
        <v>70831</v>
      </c>
      <c r="C98" s="3"/>
      <c r="D98" s="3"/>
      <c r="E98" s="3"/>
      <c r="F98" s="3"/>
      <c r="G98" s="26" t="s">
        <v>180</v>
      </c>
    </row>
    <row r="99" customFormat="false" ht="15" hidden="false" customHeight="true" outlineLevel="0" collapsed="false">
      <c r="A99" s="6" t="s">
        <v>181</v>
      </c>
      <c r="B99" s="13" t="n">
        <f aca="false">'2_Capital_Structure_Waterfall'!$B$39</f>
        <v>0.584040395011661</v>
      </c>
      <c r="C99" s="3"/>
      <c r="D99" s="3"/>
      <c r="E99" s="3"/>
      <c r="F99" s="3"/>
    </row>
    <row r="100" customFormat="false" ht="15" hidden="false" customHeight="true" outlineLevel="0" collapsed="false">
      <c r="A100" s="6" t="s">
        <v>182</v>
      </c>
      <c r="B100" s="20" t="n">
        <f aca="false">'2_Capital_Structure_Waterfall'!$B$41</f>
        <v>1532.05286962025</v>
      </c>
      <c r="C100" s="3"/>
      <c r="D100" s="3"/>
      <c r="E100" s="3"/>
      <c r="F100" s="3"/>
    </row>
    <row r="101" customFormat="false" ht="15" hidden="false" customHeight="true" outlineLevel="0" collapsed="false">
      <c r="A101" s="6" t="s">
        <v>183</v>
      </c>
      <c r="B101" s="20" t="n">
        <f aca="false">'3_Restructuring_Projections'!F39</f>
        <v>16612.811947548</v>
      </c>
      <c r="C101" s="3"/>
      <c r="D101" s="3"/>
      <c r="E101" s="3"/>
      <c r="F101" s="3"/>
    </row>
    <row r="102" customFormat="false" ht="15" hidden="false" customHeight="true" outlineLevel="0" collapsed="false">
      <c r="A102" s="6" t="s">
        <v>184</v>
      </c>
      <c r="B102" s="20" t="n">
        <f aca="false">'3_Restructuring_Projections'!H111</f>
        <v>0</v>
      </c>
      <c r="C102" s="3"/>
      <c r="D102" s="3"/>
      <c r="E102" s="3"/>
      <c r="F102" s="3"/>
    </row>
    <row r="103" customFormat="false" ht="15" hidden="false" customHeight="true" outlineLevel="0" collapsed="false">
      <c r="A103" s="6" t="s">
        <v>185</v>
      </c>
      <c r="B103" s="22" t="n">
        <f aca="false">MIN('3_Restructuring_Projections'!D110:H110)</f>
        <v>-0.770602933776791</v>
      </c>
      <c r="C103" s="3"/>
      <c r="D103" s="3"/>
      <c r="E103" s="3"/>
      <c r="F103" s="3"/>
    </row>
    <row r="104" customFormat="false" ht="15" hidden="false" customHeight="true" outlineLevel="0" collapsed="false">
      <c r="A104" s="6" t="s">
        <v>186</v>
      </c>
      <c r="B104" s="20" t="n">
        <f aca="false">'3_Restructuring_Projections'!C121</f>
        <v>108038.397332971</v>
      </c>
      <c r="C104" s="3"/>
      <c r="D104" s="3"/>
      <c r="E104" s="3"/>
      <c r="F104" s="3"/>
    </row>
    <row r="105" customFormat="false" ht="15" hidden="false" customHeight="true" outlineLevel="0" collapsed="false">
      <c r="A105" s="6" t="s">
        <v>187</v>
      </c>
      <c r="B105" s="20" t="n">
        <f aca="false">'4_Liquidation_Waterfall'!$G$18</f>
        <v>47015.0279445623</v>
      </c>
      <c r="C105" s="3"/>
      <c r="D105" s="3"/>
      <c r="E105" s="3"/>
      <c r="F105" s="3"/>
    </row>
    <row r="106" customFormat="false" ht="15" hidden="false" customHeight="true" outlineLevel="0" collapsed="false">
      <c r="A106" s="6" t="s">
        <v>188</v>
      </c>
      <c r="B106" s="27" t="n">
        <f aca="false">'3_Restructuring_Projections'!C121/'4_Liquidation_Waterfall'!$G$18</f>
        <v>2.29795454892348</v>
      </c>
      <c r="C106" s="3"/>
      <c r="D106" s="3"/>
      <c r="E106" s="3"/>
      <c r="F106" s="3"/>
    </row>
    <row r="107" customFormat="false" ht="15" hidden="false" customHeight="true" outlineLevel="0" collapsed="false">
      <c r="A107" s="6" t="s">
        <v>189</v>
      </c>
      <c r="B107" s="13" t="n">
        <f aca="false">'3_Restructuring_Projections'!C129</f>
        <v>0.512415535943664</v>
      </c>
      <c r="C107" s="3"/>
      <c r="D107" s="3"/>
      <c r="E107" s="3"/>
      <c r="F107" s="3"/>
    </row>
    <row r="108" customFormat="false" ht="15" hidden="false" customHeight="true" outlineLevel="0" collapsed="false">
      <c r="A108" s="6" t="s">
        <v>190</v>
      </c>
      <c r="B108" s="13" t="n">
        <f aca="false">'4_Liquidation_Waterfall'!D42</f>
        <v>0.18621234168671</v>
      </c>
      <c r="C108" s="3"/>
      <c r="D108" s="3"/>
      <c r="E108" s="3"/>
      <c r="F108" s="3"/>
    </row>
    <row r="109" customFormat="false" ht="15" hidden="false" customHeight="true" outlineLevel="0" collapsed="false">
      <c r="A109" s="6" t="s">
        <v>191</v>
      </c>
      <c r="B109" s="13" t="n">
        <f aca="false">'4_Liquidation_Waterfall'!D41</f>
        <v>1</v>
      </c>
      <c r="C109" s="3"/>
      <c r="D109" s="3"/>
      <c r="E109" s="3"/>
      <c r="F109" s="3"/>
    </row>
    <row r="110" customFormat="false" ht="15" hidden="false" customHeight="true" outlineLevel="0" collapsed="false">
      <c r="A110" s="6" t="s">
        <v>192</v>
      </c>
      <c r="B110" s="22" t="n">
        <f aca="false">SUMPRODUCT(ABS('3_Restructuring_Projections'!C83:H83))</f>
        <v>0</v>
      </c>
      <c r="C110" s="3"/>
      <c r="D110" s="3"/>
      <c r="E110" s="3"/>
      <c r="F110" s="3"/>
    </row>
    <row r="111" customFormat="false" ht="15" hidden="false" customHeight="true" outlineLevel="0" collapsed="false">
      <c r="A111" s="6" t="s">
        <v>193</v>
      </c>
      <c r="B111" s="6" t="str">
        <f aca="false">CHOOSE($B$23,"1 Strict","2 Middle","3 Conservative")</f>
        <v>2 Middle</v>
      </c>
    </row>
    <row r="112" customFormat="false" ht="15" hidden="false" customHeight="true" outlineLevel="0" collapsed="false">
      <c r="A112" s="6" t="s">
        <v>194</v>
      </c>
      <c r="B112" s="13" t="n">
        <f aca="false">'3_Restructuring_Projections'!$C$148</f>
        <v>0.571588655910733</v>
      </c>
    </row>
    <row r="113" customFormat="false" ht="15" hidden="false" customHeight="true" outlineLevel="0" collapsed="false">
      <c r="A113" s="6" t="s">
        <v>195</v>
      </c>
      <c r="B113" s="13" t="n">
        <f aca="false">'3_Restructuring_Projections'!$D$148</f>
        <v>0.512415535943664</v>
      </c>
    </row>
    <row r="114" customFormat="false" ht="15" hidden="false" customHeight="true" outlineLevel="0" collapsed="false">
      <c r="A114" s="6" t="s">
        <v>196</v>
      </c>
      <c r="B114" s="13" t="n">
        <f aca="false">'3_Restructuring_Projections'!$E$148</f>
        <v>0.278295800421783</v>
      </c>
    </row>
    <row r="115" customFormat="false" ht="15" hidden="false" customHeight="true" outlineLevel="0" collapsed="false">
      <c r="A115" s="6" t="s">
        <v>197</v>
      </c>
      <c r="B115" s="13" t="n">
        <f aca="false">'3_Restructuring_Projections'!$C$151</f>
        <v>0.278295800421783</v>
      </c>
    </row>
    <row r="116" customFormat="false" ht="15" hidden="false" customHeight="true" outlineLevel="0" collapsed="false">
      <c r="A116" s="6" t="s">
        <v>198</v>
      </c>
      <c r="B116" s="13" t="n">
        <f aca="false">'3_Restructuring_Projections'!$C$152</f>
        <v>0.571588655910733</v>
      </c>
    </row>
    <row r="117" customFormat="false" ht="15" hidden="false" customHeight="true" outlineLevel="0" collapsed="false">
      <c r="A117" s="6" t="s">
        <v>199</v>
      </c>
      <c r="B117" s="13" t="n">
        <f aca="false">'3_Restructuring_Projections'!$C$123</f>
        <v>0.934213799979319</v>
      </c>
    </row>
    <row r="118" customFormat="false" ht="15" hidden="false" customHeight="true" outlineLevel="0" collapsed="false">
      <c r="A118" s="6" t="s">
        <v>200</v>
      </c>
      <c r="B118" s="20" t="n">
        <f aca="false">'1_TWCF_13_Week_Liquidity'!$J$114</f>
        <v>0</v>
      </c>
    </row>
    <row r="119" customFormat="false" ht="15" hidden="false" customHeight="false" outlineLevel="0" collapsed="false">
      <c r="A119" s="28" t="s">
        <v>201</v>
      </c>
      <c r="B119" s="29" t="n">
        <f aca="false">'2_Capital_Structure_Waterfall'!$B$94</f>
        <v>57407.6931858941</v>
      </c>
    </row>
    <row r="120" customFormat="false" ht="15" hidden="false" customHeight="false" outlineLevel="0" collapsed="false">
      <c r="A120" s="28" t="s">
        <v>202</v>
      </c>
      <c r="B120" s="29" t="n">
        <f aca="false">'2_Capital_Structure_Waterfall'!$B$101</f>
        <v>182818.352456695</v>
      </c>
    </row>
    <row r="121" customFormat="false" ht="15" hidden="false" customHeight="false" outlineLevel="0" collapsed="false">
      <c r="A121" s="28" t="s">
        <v>203</v>
      </c>
      <c r="B121" s="30" t="n">
        <f aca="false">'2_Capital_Structure_Waterfall'!$B$106</f>
        <v>7.69318291969185</v>
      </c>
    </row>
    <row r="122" customFormat="false" ht="15" hidden="false" customHeight="false" outlineLevel="0" collapsed="false">
      <c r="A122" s="28" t="s">
        <v>204</v>
      </c>
      <c r="B122" s="29" t="n">
        <f aca="false">'2_Capital_Structure_Waterfall'!$B$109</f>
        <v>22498.3936074978</v>
      </c>
    </row>
    <row r="123" customFormat="false" ht="15" hidden="false" customHeight="false" outlineLevel="0" collapsed="false">
      <c r="A123" s="28" t="s">
        <v>205</v>
      </c>
      <c r="B123" s="31" t="n">
        <f aca="false">'2_Capital_Structure_Waterfall'!$B$110</f>
        <v>0.946755372728267</v>
      </c>
      <c r="G123" s="26" t="str">
        <f aca="false">'2_Capital_Structure_Waterfall'!$B$114</f>
        <v>CLIFF — instalment above 50% of FY31 cash EBITDA</v>
      </c>
    </row>
    <row r="124" customFormat="false" ht="15" hidden="false" customHeight="false" outlineLevel="0" collapsed="false">
      <c r="A124" s="28" t="s">
        <v>206</v>
      </c>
      <c r="B124" s="31" t="n">
        <f aca="false">'3_Restructuring_Projections'!$D$129</f>
        <v>0.63813067790803</v>
      </c>
      <c r="G124" s="26" t="s">
        <v>207</v>
      </c>
    </row>
    <row r="125" customFormat="false" ht="15" hidden="false" customHeight="false" outlineLevel="0" collapsed="false">
      <c r="A125" s="28" t="s">
        <v>208</v>
      </c>
      <c r="B125" s="31" t="n">
        <f aca="false">'4_Liquidation_Waterfall'!$B$73</f>
        <v>0.18621234168671</v>
      </c>
      <c r="G125" s="26" t="s">
        <v>209</v>
      </c>
    </row>
    <row r="126" customFormat="false" ht="15" hidden="false" customHeight="false" outlineLevel="0" collapsed="false">
      <c r="A126" s="28" t="s">
        <v>210</v>
      </c>
      <c r="B126" s="31" t="n">
        <f aca="false">'4_Liquidation_Waterfall'!$C$73</f>
        <v>0.127296575456156</v>
      </c>
      <c r="G126" s="26" t="s">
        <v>211</v>
      </c>
    </row>
    <row r="127" customFormat="false" ht="15" hidden="false" customHeight="false" outlineLevel="0" collapsed="false">
      <c r="A127" s="28" t="s">
        <v>212</v>
      </c>
      <c r="B127" s="32" t="n">
        <f aca="false">'1_TWCF_13_Week_Liquidity'!$B$134</f>
        <v>-1.24661835496787</v>
      </c>
      <c r="G127" s="26" t="str">
        <f aca="false">'1_TWCF_13_Week_Liquidity'!$B$136</f>
        <v>OK — within ±2.0 pp of reported</v>
      </c>
    </row>
    <row r="128" customFormat="false" ht="15" hidden="false" customHeight="false" outlineLevel="0" collapsed="false">
      <c r="A128" s="28" t="s">
        <v>213</v>
      </c>
      <c r="B128" s="31" t="n">
        <f aca="false">'6_Reconciliations'!$C$218</f>
        <v>0.211276588959403</v>
      </c>
      <c r="G128" s="26" t="s">
        <v>214</v>
      </c>
    </row>
    <row r="129" customFormat="false" ht="15" hidden="false" customHeight="false" outlineLevel="0" collapsed="false">
      <c r="A129" s="28" t="s">
        <v>215</v>
      </c>
      <c r="B129" s="29" t="n">
        <f aca="false">'6_Reconciliations'!$B$224</f>
        <v>-2784</v>
      </c>
      <c r="G129" s="26" t="str">
        <f aca="false">'6_Reconciliations'!$B$227</f>
        <v>CHECK — model equity is 7.3% away from reported; B57 plug needs recalibration</v>
      </c>
    </row>
    <row r="132" customFormat="false" ht="15" hidden="false" customHeight="false" outlineLevel="0" collapsed="false">
      <c r="A132" s="33" t="s">
        <v>216</v>
      </c>
      <c r="B132" s="33"/>
      <c r="C132" s="33"/>
      <c r="D132" s="33"/>
      <c r="E132" s="33"/>
      <c r="F132" s="33"/>
      <c r="G132" s="33"/>
    </row>
    <row r="133" customFormat="false" ht="37.5" hidden="false" customHeight="true" outlineLevel="0" collapsed="false">
      <c r="A133" s="34" t="s">
        <v>217</v>
      </c>
      <c r="B133" s="34" t="s">
        <v>218</v>
      </c>
      <c r="C133" s="34" t="s">
        <v>219</v>
      </c>
      <c r="D133" s="34" t="s">
        <v>220</v>
      </c>
      <c r="E133" s="34" t="s">
        <v>221</v>
      </c>
    </row>
    <row r="134" customFormat="false" ht="15" hidden="false" customHeight="false" outlineLevel="0" collapsed="false">
      <c r="A134" s="28" t="s">
        <v>222</v>
      </c>
      <c r="B134" s="35" t="n">
        <f aca="false">$B$41</f>
        <v>10</v>
      </c>
      <c r="C134" s="35" t="n">
        <f aca="false">$E$82</f>
        <v>12</v>
      </c>
      <c r="D134" s="35" t="n">
        <f aca="false">MAX($B$38,$B$41)</f>
        <v>12.64</v>
      </c>
      <c r="E134" s="35" t="n">
        <f aca="false">$E$71</f>
        <v>10</v>
      </c>
    </row>
    <row r="135" customFormat="false" ht="15" hidden="false" customHeight="false" outlineLevel="0" collapsed="false">
      <c r="A135" s="28" t="s">
        <v>178</v>
      </c>
      <c r="B135" s="36" t="n">
        <f aca="false">'2_Capital_Structure_Waterfall'!$N$25</f>
        <v>42071.3</v>
      </c>
      <c r="C135" s="36" t="n">
        <f aca="false">'2_Capital_Structure_Waterfall'!$N$25</f>
        <v>42071.3</v>
      </c>
      <c r="D135" s="36" t="n">
        <f aca="false">'2_Capital_Structure_Waterfall'!$N$25</f>
        <v>42071.3</v>
      </c>
      <c r="E135" s="36" t="n">
        <f aca="false">'2_Capital_Structure_Waterfall'!$N$25</f>
        <v>42071.3</v>
      </c>
    </row>
    <row r="136" customFormat="false" ht="15" hidden="false" customHeight="false" outlineLevel="0" collapsed="false">
      <c r="A136" s="28" t="s">
        <v>223</v>
      </c>
      <c r="B136" s="37" t="n">
        <f aca="false">IFERROR(B135/B134,0)</f>
        <v>4207.13</v>
      </c>
      <c r="C136" s="37" t="n">
        <f aca="false">IFERROR(C135/C134,0)</f>
        <v>3505.94166666667</v>
      </c>
      <c r="D136" s="37" t="n">
        <f aca="false">IFERROR(D135/D134,0)</f>
        <v>3328.42563291139</v>
      </c>
      <c r="E136" s="37" t="n">
        <f aca="false">IFERROR(E135/E134,0)</f>
        <v>4207.13</v>
      </c>
    </row>
    <row r="137" customFormat="false" ht="15" hidden="false" customHeight="false" outlineLevel="0" collapsed="false">
      <c r="A137" s="28" t="s">
        <v>224</v>
      </c>
      <c r="B137" s="37" t="n">
        <f aca="false">'2_Capital_Structure_Waterfall'!$B$34</f>
        <v>5307.72543037975</v>
      </c>
      <c r="C137" s="37" t="n">
        <f aca="false">'2_Capital_Structure_Waterfall'!$B$34</f>
        <v>5307.72543037975</v>
      </c>
      <c r="D137" s="37" t="n">
        <f aca="false">'2_Capital_Structure_Waterfall'!$B$34</f>
        <v>5307.72543037975</v>
      </c>
      <c r="E137" s="37" t="n">
        <f aca="false">'2_Capital_Structure_Waterfall'!$B$34</f>
        <v>5307.72543037975</v>
      </c>
    </row>
    <row r="138" customFormat="false" ht="15" hidden="false" customHeight="false" outlineLevel="0" collapsed="false">
      <c r="A138" s="28" t="s">
        <v>225</v>
      </c>
      <c r="B138" s="37" t="n">
        <f aca="false">'2_Capital_Structure_Waterfall'!$B$37</f>
        <v>1250</v>
      </c>
      <c r="C138" s="37" t="n">
        <f aca="false">'2_Capital_Structure_Waterfall'!$B$37</f>
        <v>1250</v>
      </c>
      <c r="D138" s="37" t="n">
        <f aca="false">'2_Capital_Structure_Waterfall'!$B$37</f>
        <v>1250</v>
      </c>
      <c r="E138" s="37" t="n">
        <f aca="false">'2_Capital_Structure_Waterfall'!$B$37</f>
        <v>1250</v>
      </c>
    </row>
    <row r="139" customFormat="false" ht="15" hidden="false" customHeight="false" outlineLevel="0" collapsed="false">
      <c r="A139" s="28" t="s">
        <v>226</v>
      </c>
      <c r="B139" s="37" t="n">
        <f aca="false">'2_Capital_Structure_Waterfall'!$B$33+B136+B138</f>
        <v>16291.4337974684</v>
      </c>
      <c r="C139" s="37" t="n">
        <f aca="false">'2_Capital_Structure_Waterfall'!$B$33+C136+C138</f>
        <v>15590.245464135</v>
      </c>
      <c r="D139" s="37" t="n">
        <f aca="false">'2_Capital_Structure_Waterfall'!$B$33+D136+D138</f>
        <v>15412.7294303797</v>
      </c>
      <c r="E139" s="37" t="n">
        <f aca="false">'2_Capital_Structure_Waterfall'!$B$33+E136+E138</f>
        <v>16291.4337974684</v>
      </c>
    </row>
    <row r="140" customFormat="false" ht="15" hidden="false" customHeight="false" outlineLevel="0" collapsed="false">
      <c r="A140" s="28" t="s">
        <v>227</v>
      </c>
      <c r="B140" s="31" t="n">
        <f aca="false">(B137+B136)/B139</f>
        <v>0.584040395011661</v>
      </c>
      <c r="C140" s="31" t="n">
        <f aca="false">(C137+C136)/C139</f>
        <v>0.565332157041532</v>
      </c>
      <c r="D140" s="31" t="n">
        <f aca="false">(D137+D136)/D139</f>
        <v>0.56032587234475</v>
      </c>
      <c r="E140" s="31" t="n">
        <f aca="false">(E137+E136)/E139</f>
        <v>0.584040395011661</v>
      </c>
    </row>
    <row r="141" customFormat="false" ht="15" hidden="false" customHeight="false" outlineLevel="0" collapsed="false">
      <c r="A141" s="28" t="s">
        <v>228</v>
      </c>
      <c r="B141" s="37" t="n">
        <f aca="false">MAX(0,(B137+B136)-$E$88*B139)</f>
        <v>1532.05286962025</v>
      </c>
      <c r="C141" s="37" t="n">
        <f aca="false">MAX(0,(C137+C136)-$E$88*C139)</f>
        <v>1174.44681962025</v>
      </c>
      <c r="D141" s="37" t="n">
        <f aca="false">MAX(0,(D137+D136)-$E$88*D139)</f>
        <v>1083.91364240506</v>
      </c>
      <c r="E141" s="37" t="n">
        <f aca="false">MAX(0,(E137+E136)-$E$88*E139)</f>
        <v>1532.05286962025</v>
      </c>
    </row>
    <row r="142" customFormat="false" ht="15" hidden="false" customHeight="false" outlineLevel="0" collapsed="false">
      <c r="A142" s="28" t="s">
        <v>229</v>
      </c>
      <c r="B142" s="38" t="n">
        <f aca="false">1-'2_Capital_Structure_Waterfall'!$B$33/B139</f>
        <v>0.334969289249914</v>
      </c>
      <c r="C142" s="38" t="n">
        <f aca="false">1-'2_Capital_Structure_Waterfall'!$B$33/C139</f>
        <v>0.305058806008385</v>
      </c>
      <c r="D142" s="38" t="n">
        <f aca="false">1-'2_Capital_Structure_Waterfall'!$B$33/D139</f>
        <v>0.297054824299124</v>
      </c>
      <c r="E142" s="38" t="n">
        <f aca="false">1-'2_Capital_Structure_Waterfall'!$B$33/E139</f>
        <v>0.334969289249914</v>
      </c>
    </row>
    <row r="143" customFormat="false" ht="15" hidden="false" customHeight="false" outlineLevel="0" collapsed="false">
      <c r="A143" s="28" t="s">
        <v>230</v>
      </c>
      <c r="B143" s="36" t="n">
        <f aca="false">B136*$B$38</f>
        <v>53178.1232</v>
      </c>
      <c r="C143" s="36" t="n">
        <f aca="false">C136*$B$38</f>
        <v>44315.1026666667</v>
      </c>
      <c r="D143" s="36" t="n">
        <f aca="false">D136*$B$38</f>
        <v>42071.3</v>
      </c>
      <c r="E143" s="36" t="n">
        <f aca="false">E136*$B$38</f>
        <v>53178.1232</v>
      </c>
    </row>
    <row r="144" customFormat="false" ht="15" hidden="false" customHeight="false" outlineLevel="0" collapsed="false">
      <c r="A144" s="28" t="s">
        <v>231</v>
      </c>
      <c r="B144" s="30" t="n">
        <f aca="false">IFERROR(B143/B135,0)</f>
        <v>1.264</v>
      </c>
      <c r="C144" s="30" t="n">
        <f aca="false">IFERROR(C143/C135,0)</f>
        <v>1.05333333333333</v>
      </c>
      <c r="D144" s="30" t="n">
        <f aca="false">IFERROR(D143/D135,0)</f>
        <v>1</v>
      </c>
      <c r="E144" s="30" t="n">
        <f aca="false">IFERROR(E143/E135,0)</f>
        <v>1.264</v>
      </c>
    </row>
    <row r="145" customFormat="false" ht="15" hidden="false" customHeight="false" outlineLevel="0" collapsed="false">
      <c r="A145" s="28" t="s">
        <v>232</v>
      </c>
      <c r="B145" s="38" t="n">
        <f aca="false">'3_Restructuring_Projections'!$C$129</f>
        <v>0.512415535943664</v>
      </c>
      <c r="C145" s="38" t="n">
        <f aca="false">'3_Restructuring_Projections'!$C$129</f>
        <v>0.512415535943664</v>
      </c>
      <c r="D145" s="38" t="n">
        <f aca="false">'3_Restructuring_Projections'!$C$129</f>
        <v>0.512415535943664</v>
      </c>
      <c r="E145" s="38" t="n">
        <f aca="false">'3_Restructuring_Projections'!$C$129</f>
        <v>0.512415535943664</v>
      </c>
    </row>
    <row r="147" customFormat="false" ht="39.75" hidden="false" customHeight="true" outlineLevel="0" collapsed="false">
      <c r="A147" s="39" t="s">
        <v>233</v>
      </c>
      <c r="B147" s="39"/>
      <c r="C147" s="39"/>
      <c r="D147" s="39"/>
      <c r="E147" s="39"/>
      <c r="F147" s="39"/>
      <c r="G147" s="39"/>
    </row>
    <row r="149" customFormat="false" ht="39.75" hidden="false" customHeight="true" outlineLevel="0" collapsed="false">
      <c r="A149" s="39" t="s">
        <v>234</v>
      </c>
      <c r="B149" s="39"/>
      <c r="C149" s="39"/>
      <c r="D149" s="39"/>
      <c r="E149" s="39"/>
      <c r="F149" s="39"/>
      <c r="G149" s="39"/>
    </row>
    <row r="151" customFormat="false" ht="39.75" hidden="false" customHeight="true" outlineLevel="0" collapsed="false">
      <c r="A151" s="39" t="s">
        <v>235</v>
      </c>
      <c r="B151" s="39"/>
      <c r="C151" s="39"/>
      <c r="D151" s="39"/>
      <c r="E151" s="39"/>
      <c r="F151" s="39"/>
      <c r="G151" s="39"/>
    </row>
  </sheetData>
  <mergeCells count="3">
    <mergeCell ref="A147:G147"/>
    <mergeCell ref="A149:G149"/>
    <mergeCell ref="A151:G151"/>
  </mergeCells>
  <conditionalFormatting sqref="B92">
    <cfRule type="cellIs" priority="2" operator="lessThan" aboveAverage="0" equalAverage="0" bottom="0" percent="0" rank="0" text="" dxfId="0">
      <formula>$B$49</formula>
    </cfRule>
  </conditionalFormatting>
  <conditionalFormatting sqref="B93">
    <cfRule type="cellIs" priority="3" operator="greaterThan" aboveAverage="0" equalAverage="0" bottom="0" percent="0" rank="0" text="" dxfId="0">
      <formula>0</formula>
    </cfRule>
  </conditionalFormatting>
  <conditionalFormatting sqref="B102">
    <cfRule type="cellIs" priority="4" operator="greaterThan" aboveAverage="0" equalAverage="0" bottom="0" percent="0" rank="0" text="" dxfId="0">
      <formula>0</formula>
    </cfRule>
  </conditionalFormatting>
  <conditionalFormatting sqref="B103">
    <cfRule type="cellIs" priority="5" operator="lessThan" aboveAverage="0" equalAverage="0" bottom="0" percent="0" rank="0" text="" dxfId="0">
      <formula>1</formula>
    </cfRule>
  </conditionalFormatting>
  <conditionalFormatting sqref="G123">
    <cfRule type="expression" priority="6" aboveAverage="0" equalAverage="0" bottom="0" percent="0" rank="0" text="" dxfId="1">
      <formula>LEFT(G123,5)="CLIFF"</formula>
    </cfRule>
  </conditionalFormatting>
  <conditionalFormatting sqref="G127">
    <cfRule type="expression" priority="7" aboveAverage="0" equalAverage="0" bottom="0" percent="0" rank="0" text="" dxfId="1">
      <formula>LEFT(G127,5)="CHECK"</formula>
    </cfRule>
  </conditionalFormatting>
  <conditionalFormatting sqref="G129">
    <cfRule type="expression" priority="8" aboveAverage="0" equalAverage="0" bottom="0" percent="0" rank="0" text="" dxfId="1">
      <formula>LEFT(G129,5)="CHECK"</formula>
    </cfRule>
  </conditionalFormatting>
  <dataValidations count="2">
    <dataValidation allowBlank="false" errorStyle="stop" operator="between" showDropDown="false" showErrorMessage="false" showInputMessage="false" sqref="B5" type="list">
      <formula1>"1,2,3,4"</formula1>
      <formula2>0</formula2>
    </dataValidation>
    <dataValidation allowBlank="false" errorStyle="stop" operator="between" showDropDown="false" showErrorMessage="false" showInputMessage="false" sqref="B23"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Q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3"/>
    <col collapsed="false" customWidth="true" hidden="false" outlineLevel="0" max="17" min="3" style="1" width="10.51"/>
    <col collapsed="false" customWidth="true" hidden="false" outlineLevel="0" max="18" min="18" style="1" width="60"/>
  </cols>
  <sheetData>
    <row r="1" customFormat="false" ht="15.75" hidden="false" customHeight="true" outlineLevel="0" collapsed="false">
      <c r="A1" s="2" t="s">
        <v>236</v>
      </c>
      <c r="B1" s="3"/>
      <c r="C1" s="3"/>
      <c r="D1" s="3"/>
      <c r="E1" s="3"/>
      <c r="F1" s="3"/>
      <c r="G1" s="3"/>
      <c r="H1" s="3"/>
      <c r="I1" s="3"/>
      <c r="J1" s="3"/>
      <c r="K1" s="3"/>
      <c r="L1" s="3"/>
      <c r="M1" s="3"/>
      <c r="N1" s="3"/>
      <c r="O1" s="3"/>
      <c r="P1" s="3"/>
      <c r="Q1" s="3"/>
    </row>
    <row r="2" customFormat="false" ht="15" hidden="false" customHeight="true" outlineLevel="0" collapsed="false">
      <c r="A2" s="4" t="s">
        <v>237</v>
      </c>
      <c r="B2" s="3"/>
      <c r="C2" s="3"/>
      <c r="D2" s="3"/>
      <c r="E2" s="3"/>
      <c r="F2" s="3"/>
      <c r="G2" s="3"/>
      <c r="H2" s="3"/>
      <c r="I2" s="3"/>
      <c r="J2" s="3"/>
      <c r="K2" s="3"/>
      <c r="L2" s="3"/>
      <c r="M2" s="3"/>
      <c r="N2" s="3"/>
      <c r="O2" s="3"/>
      <c r="P2" s="3"/>
      <c r="Q2" s="3"/>
    </row>
    <row r="3" customFormat="false" ht="15" hidden="false" customHeight="true" outlineLevel="0" collapsed="false">
      <c r="A3" s="40" t="s">
        <v>238</v>
      </c>
      <c r="B3" s="3"/>
      <c r="C3" s="3"/>
      <c r="D3" s="3"/>
      <c r="E3" s="3"/>
      <c r="F3" s="3"/>
      <c r="G3" s="3"/>
      <c r="H3" s="3"/>
      <c r="I3" s="3"/>
      <c r="J3" s="3"/>
      <c r="K3" s="3"/>
      <c r="L3" s="3"/>
      <c r="M3" s="3"/>
      <c r="N3" s="3"/>
      <c r="O3" s="3"/>
      <c r="P3" s="3"/>
      <c r="Q3" s="3"/>
    </row>
    <row r="4" customFormat="false" ht="15" hidden="false" customHeight="true" outlineLevel="0" collapsed="false">
      <c r="A4" s="5" t="s">
        <v>239</v>
      </c>
      <c r="B4" s="5" t="s">
        <v>240</v>
      </c>
      <c r="C4" s="5" t="s">
        <v>241</v>
      </c>
      <c r="D4" s="5" t="s">
        <v>242</v>
      </c>
      <c r="E4" s="3"/>
      <c r="F4" s="3"/>
      <c r="G4" s="3"/>
      <c r="H4" s="3"/>
      <c r="I4" s="3"/>
      <c r="J4" s="3"/>
      <c r="K4" s="3"/>
      <c r="L4" s="3"/>
      <c r="M4" s="3"/>
      <c r="N4" s="3"/>
      <c r="O4" s="3"/>
      <c r="P4" s="3"/>
      <c r="Q4" s="3"/>
    </row>
    <row r="5" customFormat="false" ht="15" hidden="false" customHeight="true" outlineLevel="0" collapsed="false">
      <c r="A5" s="8" t="s">
        <v>243</v>
      </c>
      <c r="B5" s="14" t="n">
        <v>5800</v>
      </c>
      <c r="C5" s="3"/>
      <c r="D5" s="4" t="s">
        <v>244</v>
      </c>
      <c r="E5" s="3"/>
      <c r="F5" s="3"/>
      <c r="G5" s="3"/>
      <c r="H5" s="3"/>
      <c r="I5" s="3"/>
      <c r="J5" s="3"/>
      <c r="K5" s="3"/>
      <c r="L5" s="3"/>
      <c r="M5" s="3"/>
      <c r="N5" s="3"/>
      <c r="O5" s="3"/>
      <c r="P5" s="3"/>
      <c r="Q5" s="3"/>
    </row>
    <row r="6" customFormat="false" ht="15" hidden="false" customHeight="true" outlineLevel="0" collapsed="false">
      <c r="A6" s="8" t="s">
        <v>245</v>
      </c>
      <c r="B6" s="41" t="n">
        <v>46300</v>
      </c>
      <c r="C6" s="3"/>
      <c r="D6" s="4"/>
      <c r="E6" s="3"/>
      <c r="F6" s="3"/>
      <c r="G6" s="3"/>
      <c r="H6" s="3"/>
      <c r="I6" s="3"/>
      <c r="J6" s="3"/>
      <c r="K6" s="3"/>
      <c r="L6" s="3"/>
      <c r="M6" s="3"/>
      <c r="N6" s="3"/>
      <c r="O6" s="3"/>
      <c r="P6" s="3"/>
      <c r="Q6" s="3"/>
    </row>
    <row r="7" customFormat="false" ht="15" hidden="false" customHeight="true" outlineLevel="0" collapsed="false">
      <c r="A7" s="8" t="s">
        <v>246</v>
      </c>
      <c r="B7" s="12" t="n">
        <v>0.025</v>
      </c>
      <c r="C7" s="3"/>
      <c r="D7" s="4" t="s">
        <v>247</v>
      </c>
      <c r="E7" s="3"/>
      <c r="F7" s="3"/>
      <c r="G7" s="3"/>
      <c r="H7" s="3"/>
      <c r="I7" s="3"/>
      <c r="J7" s="3"/>
      <c r="K7" s="3"/>
      <c r="L7" s="3"/>
      <c r="M7" s="3"/>
      <c r="N7" s="3"/>
      <c r="O7" s="3"/>
      <c r="P7" s="3"/>
      <c r="Q7" s="3"/>
    </row>
    <row r="8" customFormat="false" ht="15" hidden="false" customHeight="true" outlineLevel="0" collapsed="false">
      <c r="A8" s="8" t="s">
        <v>248</v>
      </c>
      <c r="B8" s="16" t="n">
        <f aca="false">'0_Control_Panel'!$B$31*(1+$B$7)^2</f>
        <v>12280.755625</v>
      </c>
      <c r="C8" s="3"/>
      <c r="D8" s="4" t="s">
        <v>249</v>
      </c>
      <c r="E8" s="3"/>
      <c r="F8" s="3"/>
      <c r="G8" s="3"/>
      <c r="H8" s="3"/>
      <c r="I8" s="3"/>
      <c r="J8" s="3"/>
      <c r="K8" s="3"/>
      <c r="L8" s="3"/>
      <c r="M8" s="3"/>
      <c r="N8" s="3"/>
      <c r="O8" s="3"/>
      <c r="P8" s="3"/>
      <c r="Q8" s="3"/>
    </row>
    <row r="9" customFormat="false" ht="15" hidden="false" customHeight="true" outlineLevel="0" collapsed="false">
      <c r="A9" s="8" t="s">
        <v>250</v>
      </c>
      <c r="B9" s="16" t="n">
        <f aca="false">'0_Control_Panel'!$B$31*(1+$B$7)</f>
        <v>11981.225</v>
      </c>
      <c r="C9" s="3"/>
      <c r="D9" s="4" t="s">
        <v>251</v>
      </c>
      <c r="E9" s="3"/>
      <c r="F9" s="3"/>
      <c r="G9" s="3"/>
      <c r="H9" s="3"/>
      <c r="I9" s="3"/>
      <c r="J9" s="3"/>
      <c r="K9" s="3"/>
      <c r="L9" s="3"/>
      <c r="M9" s="3"/>
      <c r="N9" s="3"/>
      <c r="O9" s="3"/>
      <c r="P9" s="3"/>
      <c r="Q9" s="3"/>
    </row>
    <row r="10" customFormat="false" ht="15" hidden="false" customHeight="true" outlineLevel="0" collapsed="false">
      <c r="A10" s="8" t="s">
        <v>252</v>
      </c>
      <c r="B10" s="12" t="n">
        <v>0.88</v>
      </c>
      <c r="C10" s="3"/>
      <c r="D10" s="4" t="s">
        <v>253</v>
      </c>
      <c r="E10" s="3"/>
      <c r="F10" s="3"/>
      <c r="G10" s="3"/>
      <c r="H10" s="3"/>
      <c r="I10" s="3"/>
      <c r="J10" s="3"/>
      <c r="K10" s="3"/>
      <c r="L10" s="3"/>
      <c r="M10" s="3"/>
      <c r="N10" s="3"/>
      <c r="O10" s="3"/>
      <c r="P10" s="3"/>
      <c r="Q10" s="3"/>
    </row>
    <row r="11" customFormat="false" ht="15" hidden="false" customHeight="true" outlineLevel="0" collapsed="false">
      <c r="A11" s="8" t="s">
        <v>254</v>
      </c>
      <c r="B11" s="42" t="n">
        <f aca="false">$B$12*(1-'0_Control_Panel'!$E$79)</f>
        <v>0.985</v>
      </c>
      <c r="C11" s="3"/>
      <c r="D11" s="4" t="s">
        <v>255</v>
      </c>
      <c r="E11" s="3"/>
      <c r="F11" s="3"/>
      <c r="G11" s="3"/>
      <c r="H11" s="3"/>
      <c r="I11" s="3"/>
      <c r="J11" s="3"/>
      <c r="K11" s="3"/>
      <c r="L11" s="3"/>
      <c r="M11" s="3"/>
      <c r="N11" s="3"/>
      <c r="O11" s="3"/>
      <c r="P11" s="3"/>
      <c r="Q11" s="3"/>
    </row>
    <row r="12" customFormat="false" ht="15" hidden="false" customHeight="true" outlineLevel="0" collapsed="false">
      <c r="A12" s="8" t="s">
        <v>256</v>
      </c>
      <c r="B12" s="12" t="n">
        <v>0.985</v>
      </c>
      <c r="C12" s="3"/>
      <c r="D12" s="4"/>
      <c r="E12" s="3"/>
      <c r="F12" s="3"/>
      <c r="G12" s="3"/>
      <c r="H12" s="3"/>
      <c r="I12" s="3"/>
      <c r="J12" s="3"/>
      <c r="K12" s="3"/>
      <c r="L12" s="3"/>
      <c r="M12" s="3"/>
      <c r="N12" s="3"/>
      <c r="O12" s="3"/>
      <c r="P12" s="3"/>
      <c r="Q12" s="3"/>
    </row>
    <row r="13" customFormat="false" ht="15" hidden="false" customHeight="true" outlineLevel="0" collapsed="false">
      <c r="A13" s="8" t="s">
        <v>257</v>
      </c>
      <c r="B13" s="16" t="n">
        <f aca="false">('0_Control_Panel'!$B$32-'0_Control_Panel'!$B$33)*(1+$B$7)^2</f>
        <v>2688.549375</v>
      </c>
      <c r="C13" s="3"/>
      <c r="D13" s="4" t="s">
        <v>258</v>
      </c>
      <c r="E13" s="3"/>
      <c r="F13" s="3"/>
      <c r="G13" s="3"/>
      <c r="H13" s="3"/>
      <c r="I13" s="3"/>
      <c r="J13" s="3"/>
      <c r="K13" s="3"/>
      <c r="L13" s="3"/>
      <c r="M13" s="3"/>
      <c r="N13" s="3"/>
      <c r="O13" s="3"/>
      <c r="P13" s="3"/>
      <c r="Q13" s="3"/>
    </row>
    <row r="14" customFormat="false" ht="15" hidden="false" customHeight="true" outlineLevel="0" collapsed="false">
      <c r="A14" s="8" t="s">
        <v>259</v>
      </c>
      <c r="B14" s="12" t="n">
        <v>0.7</v>
      </c>
      <c r="C14" s="3"/>
      <c r="D14" s="4" t="s">
        <v>260</v>
      </c>
      <c r="E14" s="3"/>
      <c r="F14" s="3"/>
      <c r="G14" s="3"/>
      <c r="H14" s="3"/>
      <c r="I14" s="3"/>
      <c r="J14" s="3"/>
      <c r="K14" s="3"/>
      <c r="L14" s="3"/>
      <c r="M14" s="3"/>
      <c r="N14" s="3"/>
      <c r="O14" s="3"/>
      <c r="P14" s="3"/>
      <c r="Q14" s="3"/>
    </row>
    <row r="15" customFormat="false" ht="15" hidden="false" customHeight="true" outlineLevel="0" collapsed="false">
      <c r="A15" s="8" t="s">
        <v>261</v>
      </c>
      <c r="B15" s="12" t="n">
        <v>0.11</v>
      </c>
      <c r="C15" s="3"/>
      <c r="D15" s="4" t="s">
        <v>262</v>
      </c>
      <c r="E15" s="3"/>
      <c r="F15" s="3"/>
      <c r="G15" s="3"/>
      <c r="H15" s="3"/>
      <c r="I15" s="3"/>
      <c r="J15" s="3"/>
      <c r="K15" s="3"/>
      <c r="L15" s="3"/>
      <c r="M15" s="3"/>
      <c r="N15" s="3"/>
      <c r="O15" s="3"/>
      <c r="P15" s="3"/>
      <c r="Q15" s="3"/>
    </row>
    <row r="16" customFormat="false" ht="15" hidden="false" customHeight="true" outlineLevel="0" collapsed="false">
      <c r="A16" s="8" t="s">
        <v>263</v>
      </c>
      <c r="B16" s="42" t="n">
        <f aca="false">'3_Restructuring_Projections'!$C$22-$B$15</f>
        <v>0.105</v>
      </c>
      <c r="C16" s="3"/>
      <c r="D16" s="4" t="s">
        <v>264</v>
      </c>
      <c r="E16" s="3"/>
      <c r="F16" s="3"/>
      <c r="G16" s="3"/>
      <c r="H16" s="3"/>
      <c r="I16" s="3"/>
      <c r="J16" s="3"/>
      <c r="K16" s="3"/>
      <c r="L16" s="3"/>
      <c r="M16" s="3"/>
      <c r="N16" s="3"/>
      <c r="O16" s="3"/>
      <c r="P16" s="3"/>
      <c r="Q16" s="3"/>
    </row>
    <row r="17" customFormat="false" ht="15" hidden="false" customHeight="true" outlineLevel="0" collapsed="false">
      <c r="A17" s="8" t="s">
        <v>265</v>
      </c>
      <c r="B17" s="12" t="n">
        <v>0.09</v>
      </c>
      <c r="C17" s="10" t="n">
        <v>2</v>
      </c>
      <c r="D17" s="4" t="s">
        <v>266</v>
      </c>
      <c r="E17" s="3"/>
      <c r="F17" s="3"/>
      <c r="G17" s="3"/>
      <c r="H17" s="3"/>
      <c r="I17" s="3"/>
      <c r="J17" s="3"/>
      <c r="K17" s="3"/>
      <c r="L17" s="3"/>
      <c r="M17" s="3"/>
      <c r="N17" s="3"/>
      <c r="O17" s="3"/>
      <c r="P17" s="3"/>
      <c r="Q17" s="3"/>
    </row>
    <row r="18" customFormat="false" ht="15" hidden="false" customHeight="true" outlineLevel="0" collapsed="false">
      <c r="A18" s="8" t="s">
        <v>267</v>
      </c>
      <c r="B18" s="12" t="n">
        <v>0.046</v>
      </c>
      <c r="C18" s="3"/>
      <c r="D18" s="4"/>
      <c r="E18" s="3"/>
      <c r="F18" s="3"/>
      <c r="G18" s="3"/>
      <c r="H18" s="3"/>
      <c r="I18" s="3"/>
      <c r="J18" s="3"/>
      <c r="K18" s="3"/>
      <c r="L18" s="3"/>
      <c r="M18" s="3"/>
      <c r="N18" s="3"/>
      <c r="O18" s="3"/>
      <c r="P18" s="3"/>
      <c r="Q18" s="3"/>
    </row>
    <row r="19" customFormat="false" ht="15" hidden="false" customHeight="true" outlineLevel="0" collapsed="false">
      <c r="A19" s="8" t="s">
        <v>268</v>
      </c>
      <c r="B19" s="12" t="n">
        <v>0.118</v>
      </c>
      <c r="C19" s="3"/>
      <c r="D19" s="4"/>
      <c r="E19" s="3"/>
      <c r="F19" s="3"/>
      <c r="G19" s="3"/>
      <c r="H19" s="3"/>
      <c r="I19" s="3"/>
      <c r="J19" s="3"/>
      <c r="K19" s="3"/>
      <c r="L19" s="3"/>
      <c r="M19" s="3"/>
      <c r="N19" s="3"/>
      <c r="O19" s="3"/>
      <c r="P19" s="3"/>
      <c r="Q19" s="3"/>
    </row>
    <row r="20" customFormat="false" ht="15" hidden="false" customHeight="true" outlineLevel="0" collapsed="false">
      <c r="A20" s="8" t="s">
        <v>269</v>
      </c>
      <c r="B20" s="12" t="n">
        <v>0.1</v>
      </c>
      <c r="C20" s="3"/>
      <c r="D20" s="4"/>
      <c r="E20" s="3"/>
      <c r="F20" s="3"/>
      <c r="G20" s="3"/>
      <c r="H20" s="3"/>
      <c r="I20" s="3"/>
      <c r="J20" s="3"/>
      <c r="K20" s="3"/>
      <c r="L20" s="3"/>
      <c r="M20" s="3"/>
      <c r="N20" s="3"/>
      <c r="O20" s="3"/>
      <c r="P20" s="3"/>
      <c r="Q20" s="3"/>
    </row>
    <row r="21" customFormat="false" ht="15" hidden="false" customHeight="true" outlineLevel="0" collapsed="false">
      <c r="A21" s="8" t="s">
        <v>270</v>
      </c>
      <c r="B21" s="14" t="n">
        <v>3800</v>
      </c>
      <c r="C21" s="3"/>
      <c r="D21" s="4" t="s">
        <v>271</v>
      </c>
      <c r="E21" s="3"/>
      <c r="F21" s="3"/>
      <c r="G21" s="3"/>
      <c r="H21" s="3"/>
      <c r="I21" s="3"/>
      <c r="J21" s="3"/>
      <c r="K21" s="3"/>
      <c r="L21" s="3"/>
      <c r="M21" s="3"/>
      <c r="N21" s="3"/>
      <c r="O21" s="3"/>
      <c r="P21" s="3"/>
      <c r="Q21" s="3"/>
    </row>
    <row r="22" customFormat="false" ht="15" hidden="false" customHeight="true" outlineLevel="0" collapsed="false">
      <c r="A22" s="8" t="s">
        <v>272</v>
      </c>
      <c r="B22" s="42" t="n">
        <f aca="false">'0_Control_Panel'!$E$78</f>
        <v>0.1</v>
      </c>
      <c r="C22" s="3"/>
      <c r="D22" s="4" t="s">
        <v>273</v>
      </c>
      <c r="E22" s="3"/>
      <c r="F22" s="3"/>
      <c r="G22" s="3"/>
      <c r="H22" s="3"/>
      <c r="I22" s="3"/>
      <c r="J22" s="3"/>
      <c r="K22" s="3"/>
      <c r="L22" s="3"/>
      <c r="M22" s="3"/>
      <c r="N22" s="3"/>
      <c r="O22" s="3"/>
      <c r="P22" s="3"/>
      <c r="Q22" s="3"/>
    </row>
    <row r="23" customFormat="false" ht="15" hidden="false" customHeight="true" outlineLevel="0" collapsed="false">
      <c r="A23" s="8" t="s">
        <v>274</v>
      </c>
      <c r="B23" s="14" t="n">
        <v>2500</v>
      </c>
      <c r="C23" s="10" t="n">
        <v>10</v>
      </c>
      <c r="D23" s="4" t="s">
        <v>275</v>
      </c>
      <c r="E23" s="3"/>
      <c r="F23" s="3"/>
      <c r="G23" s="3"/>
      <c r="H23" s="3"/>
      <c r="I23" s="3"/>
      <c r="J23" s="3"/>
      <c r="K23" s="3"/>
      <c r="L23" s="3"/>
      <c r="M23" s="3"/>
      <c r="N23" s="3"/>
      <c r="O23" s="3"/>
      <c r="P23" s="3"/>
      <c r="Q23" s="3"/>
    </row>
    <row r="24" customFormat="false" ht="15" hidden="false" customHeight="true" outlineLevel="0" collapsed="false">
      <c r="A24" s="8" t="s">
        <v>276</v>
      </c>
      <c r="B24" s="10" t="n">
        <v>0</v>
      </c>
      <c r="C24" s="3"/>
      <c r="D24" s="4" t="s">
        <v>277</v>
      </c>
      <c r="E24" s="3"/>
      <c r="F24" s="3"/>
      <c r="G24" s="3"/>
      <c r="H24" s="3"/>
      <c r="I24" s="3"/>
      <c r="J24" s="3"/>
      <c r="K24" s="3"/>
      <c r="L24" s="3"/>
      <c r="M24" s="3"/>
      <c r="N24" s="3"/>
      <c r="O24" s="3"/>
      <c r="P24" s="3"/>
      <c r="Q24" s="3"/>
    </row>
    <row r="25" customFormat="false" ht="15" hidden="false" customHeight="true" outlineLevel="0" collapsed="false">
      <c r="A25" s="8" t="s">
        <v>278</v>
      </c>
      <c r="B25" s="16" t="n">
        <f aca="false">'0_Control_Panel'!$B$29*'2_Capital_Structure_Waterfall'!$E$18/4</f>
        <v>88.6875</v>
      </c>
      <c r="C25" s="10" t="n">
        <v>7</v>
      </c>
      <c r="D25" s="4" t="s">
        <v>279</v>
      </c>
      <c r="E25" s="3"/>
      <c r="F25" s="3"/>
      <c r="G25" s="3"/>
      <c r="H25" s="3"/>
      <c r="I25" s="3"/>
      <c r="J25" s="3"/>
      <c r="K25" s="3"/>
      <c r="L25" s="3"/>
      <c r="M25" s="3"/>
      <c r="N25" s="3"/>
      <c r="O25" s="3"/>
      <c r="P25" s="3"/>
      <c r="Q25" s="3"/>
    </row>
    <row r="26" customFormat="false" ht="15" hidden="false" customHeight="true" outlineLevel="0" collapsed="false">
      <c r="A26" s="8" t="s">
        <v>280</v>
      </c>
      <c r="B26" s="16" t="n">
        <f aca="false">'0_Control_Panel'!$B$28*(1-'0_Control_Panel'!$E$75)*IF(OR('0_Control_Panel'!$E$80&gt;0,'0_Control_Panel'!$B$5=3),0,1)</f>
        <v>0</v>
      </c>
      <c r="C26" s="10" t="n">
        <v>13</v>
      </c>
      <c r="D26" s="4" t="s">
        <v>281</v>
      </c>
      <c r="E26" s="3"/>
      <c r="F26" s="3"/>
      <c r="G26" s="3"/>
      <c r="H26" s="3"/>
      <c r="I26" s="3"/>
      <c r="J26" s="3"/>
      <c r="K26" s="3"/>
      <c r="L26" s="3"/>
      <c r="M26" s="3"/>
      <c r="N26" s="3"/>
      <c r="O26" s="3"/>
      <c r="P26" s="3"/>
      <c r="Q26" s="3"/>
    </row>
    <row r="27" customFormat="false" ht="15" hidden="false" customHeight="true" outlineLevel="0" collapsed="false">
      <c r="A27" s="8" t="s">
        <v>282</v>
      </c>
      <c r="B27" s="12" t="n">
        <v>0.25</v>
      </c>
      <c r="C27" s="3"/>
      <c r="D27" s="4"/>
      <c r="E27" s="3"/>
      <c r="F27" s="3"/>
      <c r="G27" s="3"/>
      <c r="H27" s="3"/>
      <c r="I27" s="3"/>
      <c r="J27" s="3"/>
      <c r="K27" s="3"/>
      <c r="L27" s="3"/>
      <c r="M27" s="3"/>
      <c r="N27" s="3"/>
      <c r="O27" s="3"/>
      <c r="P27" s="3"/>
      <c r="Q27" s="3"/>
    </row>
    <row r="28" customFormat="false" ht="15" hidden="false" customHeight="true" outlineLevel="0" collapsed="false">
      <c r="A28" s="8" t="s">
        <v>283</v>
      </c>
      <c r="B28" s="14" t="n">
        <v>1500</v>
      </c>
      <c r="C28" s="10" t="n">
        <v>8</v>
      </c>
      <c r="D28" s="4" t="s">
        <v>284</v>
      </c>
      <c r="E28" s="3"/>
      <c r="F28" s="3"/>
      <c r="G28" s="3"/>
      <c r="H28" s="3"/>
      <c r="I28" s="3"/>
      <c r="J28" s="3"/>
      <c r="K28" s="3"/>
      <c r="L28" s="3"/>
      <c r="M28" s="3"/>
      <c r="N28" s="3"/>
      <c r="O28" s="3"/>
      <c r="P28" s="3"/>
      <c r="Q28" s="3"/>
    </row>
    <row r="29" customFormat="false" ht="15" hidden="false" customHeight="true" outlineLevel="0" collapsed="false">
      <c r="A29" s="8" t="s">
        <v>285</v>
      </c>
      <c r="B29" s="14" t="n">
        <v>0</v>
      </c>
      <c r="C29" s="10" t="n">
        <v>11</v>
      </c>
      <c r="D29" s="4" t="s">
        <v>286</v>
      </c>
      <c r="E29" s="3"/>
      <c r="F29" s="3"/>
      <c r="G29" s="3"/>
      <c r="H29" s="3"/>
      <c r="I29" s="3"/>
      <c r="J29" s="3"/>
      <c r="K29" s="3"/>
      <c r="L29" s="3"/>
      <c r="M29" s="3"/>
      <c r="N29" s="3"/>
      <c r="O29" s="3"/>
      <c r="P29" s="3"/>
      <c r="Q29" s="3"/>
    </row>
    <row r="30" customFormat="false" ht="15" hidden="false" customHeight="true" outlineLevel="0" collapsed="false">
      <c r="A30" s="8" t="s">
        <v>287</v>
      </c>
      <c r="B30" s="16" t="n">
        <f aca="false">'0_Control_Panel'!$B$49</f>
        <v>4000</v>
      </c>
      <c r="C30" s="3"/>
      <c r="D30" s="4" t="s">
        <v>288</v>
      </c>
      <c r="E30" s="3"/>
      <c r="F30" s="3"/>
      <c r="G30" s="3"/>
      <c r="H30" s="3"/>
      <c r="I30" s="3"/>
      <c r="J30" s="3"/>
      <c r="K30" s="3"/>
      <c r="L30" s="3"/>
      <c r="M30" s="3"/>
      <c r="N30" s="3"/>
      <c r="O30" s="3"/>
      <c r="P30" s="3"/>
      <c r="Q30" s="3"/>
    </row>
    <row r="31" customFormat="false" ht="15" hidden="false" customHeight="true" outlineLevel="0" collapsed="false">
      <c r="A31" s="4" t="s">
        <v>289</v>
      </c>
      <c r="B31" s="3"/>
      <c r="C31" s="3"/>
      <c r="D31" s="3"/>
      <c r="E31" s="3"/>
      <c r="F31" s="3"/>
      <c r="G31" s="3"/>
      <c r="H31" s="3"/>
      <c r="I31" s="3"/>
      <c r="J31" s="3"/>
      <c r="K31" s="3"/>
      <c r="L31" s="3"/>
      <c r="M31" s="3"/>
      <c r="N31" s="3"/>
      <c r="O31" s="3"/>
      <c r="P31" s="3"/>
      <c r="Q31" s="3"/>
    </row>
    <row r="32" customFormat="false" ht="15" hidden="false" customHeight="true" outlineLevel="0" collapsed="false">
      <c r="A32" s="3"/>
      <c r="B32" s="3"/>
      <c r="C32" s="3"/>
      <c r="D32" s="3"/>
      <c r="E32" s="3"/>
      <c r="F32" s="3"/>
      <c r="G32" s="3"/>
      <c r="H32" s="3"/>
      <c r="I32" s="3"/>
      <c r="J32" s="3"/>
      <c r="K32" s="3"/>
      <c r="L32" s="3"/>
      <c r="M32" s="3"/>
      <c r="N32" s="3"/>
      <c r="O32" s="3"/>
      <c r="P32" s="3"/>
      <c r="Q32" s="3"/>
    </row>
    <row r="33" customFormat="false" ht="15" hidden="false" customHeight="true" outlineLevel="0" collapsed="false">
      <c r="A33" s="5" t="s">
        <v>290</v>
      </c>
      <c r="B33" s="5"/>
      <c r="C33" s="5"/>
      <c r="D33" s="5"/>
      <c r="E33" s="5"/>
      <c r="F33" s="5"/>
      <c r="G33" s="5"/>
      <c r="H33" s="5"/>
      <c r="I33" s="5"/>
      <c r="J33" s="5"/>
      <c r="K33" s="5"/>
      <c r="L33" s="5"/>
      <c r="M33" s="5"/>
      <c r="N33" s="5"/>
      <c r="O33" s="5"/>
      <c r="P33" s="5"/>
      <c r="Q33" s="5"/>
    </row>
    <row r="34" customFormat="false" ht="15" hidden="false" customHeight="true" outlineLevel="0" collapsed="false">
      <c r="A34" s="6" t="s">
        <v>241</v>
      </c>
      <c r="B34" s="3"/>
      <c r="C34" s="43" t="n">
        <f aca="false">1</f>
        <v>1</v>
      </c>
      <c r="D34" s="43" t="n">
        <f aca="false">C34+1</f>
        <v>2</v>
      </c>
      <c r="E34" s="43" t="n">
        <f aca="false">D34+1</f>
        <v>3</v>
      </c>
      <c r="F34" s="43" t="n">
        <f aca="false">E34+1</f>
        <v>4</v>
      </c>
      <c r="G34" s="43" t="n">
        <f aca="false">F34+1</f>
        <v>5</v>
      </c>
      <c r="H34" s="43" t="n">
        <f aca="false">G34+1</f>
        <v>6</v>
      </c>
      <c r="I34" s="43" t="n">
        <f aca="false">H34+1</f>
        <v>7</v>
      </c>
      <c r="J34" s="43" t="n">
        <f aca="false">I34+1</f>
        <v>8</v>
      </c>
      <c r="K34" s="43" t="n">
        <f aca="false">J34+1</f>
        <v>9</v>
      </c>
      <c r="L34" s="43" t="n">
        <f aca="false">K34+1</f>
        <v>10</v>
      </c>
      <c r="M34" s="43" t="n">
        <f aca="false">L34+1</f>
        <v>11</v>
      </c>
      <c r="N34" s="43" t="n">
        <f aca="false">M34+1</f>
        <v>12</v>
      </c>
      <c r="O34" s="43" t="n">
        <f aca="false">N34+1</f>
        <v>13</v>
      </c>
      <c r="P34" s="21" t="s">
        <v>291</v>
      </c>
      <c r="Q34" s="3"/>
    </row>
    <row r="35" customFormat="false" ht="15" hidden="false" customHeight="true" outlineLevel="0" collapsed="false">
      <c r="A35" s="6" t="s">
        <v>292</v>
      </c>
      <c r="B35" s="3"/>
      <c r="C35" s="44" t="n">
        <f aca="false">$B$6+7*(C34-1)</f>
        <v>46300</v>
      </c>
      <c r="D35" s="44" t="n">
        <f aca="false">$B$6+7*(D34-1)</f>
        <v>46307</v>
      </c>
      <c r="E35" s="44" t="n">
        <f aca="false">$B$6+7*(E34-1)</f>
        <v>46314</v>
      </c>
      <c r="F35" s="44" t="n">
        <f aca="false">$B$6+7*(F34-1)</f>
        <v>46321</v>
      </c>
      <c r="G35" s="44" t="n">
        <f aca="false">$B$6+7*(G34-1)</f>
        <v>46328</v>
      </c>
      <c r="H35" s="44" t="n">
        <f aca="false">$B$6+7*(H34-1)</f>
        <v>46335</v>
      </c>
      <c r="I35" s="44" t="n">
        <f aca="false">$B$6+7*(I34-1)</f>
        <v>46342</v>
      </c>
      <c r="J35" s="44" t="n">
        <f aca="false">$B$6+7*(J34-1)</f>
        <v>46349</v>
      </c>
      <c r="K35" s="44" t="n">
        <f aca="false">$B$6+7*(K34-1)</f>
        <v>46356</v>
      </c>
      <c r="L35" s="44" t="n">
        <f aca="false">$B$6+7*(L34-1)</f>
        <v>46363</v>
      </c>
      <c r="M35" s="44" t="n">
        <f aca="false">$B$6+7*(M34-1)</f>
        <v>46370</v>
      </c>
      <c r="N35" s="44" t="n">
        <f aca="false">$B$6+7*(N34-1)</f>
        <v>46377</v>
      </c>
      <c r="O35" s="44" t="n">
        <f aca="false">$B$6+7*(O34-1)</f>
        <v>46384</v>
      </c>
      <c r="P35" s="3"/>
      <c r="Q35" s="3"/>
    </row>
    <row r="36" customFormat="false" ht="15" hidden="false" customHeight="true" outlineLevel="0" collapsed="false">
      <c r="A36" s="8" t="s">
        <v>293</v>
      </c>
      <c r="B36" s="3"/>
      <c r="C36" s="45" t="n">
        <f aca="false">IF(DAY(C35)&lt;=7,1,0)</f>
        <v>1</v>
      </c>
      <c r="D36" s="45" t="n">
        <f aca="false">IF(DAY(D35)&lt;=7,1,0)</f>
        <v>0</v>
      </c>
      <c r="E36" s="45" t="n">
        <f aca="false">IF(DAY(E35)&lt;=7,1,0)</f>
        <v>0</v>
      </c>
      <c r="F36" s="45" t="n">
        <f aca="false">IF(DAY(F35)&lt;=7,1,0)</f>
        <v>0</v>
      </c>
      <c r="G36" s="45" t="n">
        <f aca="false">IF(DAY(G35)&lt;=7,1,0)</f>
        <v>1</v>
      </c>
      <c r="H36" s="45" t="n">
        <f aca="false">IF(DAY(H35)&lt;=7,1,0)</f>
        <v>0</v>
      </c>
      <c r="I36" s="45" t="n">
        <f aca="false">IF(DAY(I35)&lt;=7,1,0)</f>
        <v>0</v>
      </c>
      <c r="J36" s="45" t="n">
        <f aca="false">IF(DAY(J35)&lt;=7,1,0)</f>
        <v>0</v>
      </c>
      <c r="K36" s="45" t="n">
        <f aca="false">IF(DAY(K35)&lt;=7,1,0)</f>
        <v>0</v>
      </c>
      <c r="L36" s="45" t="n">
        <f aca="false">IF(DAY(L35)&lt;=7,1,0)</f>
        <v>1</v>
      </c>
      <c r="M36" s="45" t="n">
        <f aca="false">IF(DAY(M35)&lt;=7,1,0)</f>
        <v>0</v>
      </c>
      <c r="N36" s="45" t="n">
        <f aca="false">IF(DAY(N35)&lt;=7,1,0)</f>
        <v>0</v>
      </c>
      <c r="O36" s="45" t="n">
        <f aca="false">IF(DAY(O35)&lt;=7,1,0)</f>
        <v>0</v>
      </c>
      <c r="P36" s="3"/>
      <c r="Q36" s="3"/>
    </row>
    <row r="37" customFormat="false" ht="15" hidden="false" customHeight="true" outlineLevel="0" collapsed="false">
      <c r="A37" s="8" t="s">
        <v>294</v>
      </c>
      <c r="B37" s="3"/>
      <c r="C37" s="11" t="n">
        <v>1</v>
      </c>
      <c r="D37" s="11" t="n">
        <v>1.02</v>
      </c>
      <c r="E37" s="11" t="n">
        <v>1.04</v>
      </c>
      <c r="F37" s="11" t="n">
        <v>1.03</v>
      </c>
      <c r="G37" s="11" t="n">
        <v>1.01</v>
      </c>
      <c r="H37" s="11" t="n">
        <v>1</v>
      </c>
      <c r="I37" s="11" t="n">
        <v>0.99</v>
      </c>
      <c r="J37" s="11" t="n">
        <v>0.99</v>
      </c>
      <c r="K37" s="11" t="n">
        <v>1</v>
      </c>
      <c r="L37" s="11" t="n">
        <v>1</v>
      </c>
      <c r="M37" s="11" t="n">
        <v>0.98</v>
      </c>
      <c r="N37" s="11" t="n">
        <v>0.97</v>
      </c>
      <c r="O37" s="11" t="n">
        <v>0.97</v>
      </c>
      <c r="P37" s="3"/>
      <c r="Q37" s="3"/>
    </row>
    <row r="38" customFormat="false" ht="15" hidden="false" customHeight="true" outlineLevel="0" collapsed="false">
      <c r="A38" s="3"/>
      <c r="B38" s="3"/>
      <c r="C38" s="3"/>
      <c r="D38" s="3"/>
      <c r="E38" s="3"/>
      <c r="F38" s="3"/>
      <c r="G38" s="3"/>
      <c r="H38" s="3"/>
      <c r="I38" s="3"/>
      <c r="J38" s="3"/>
      <c r="K38" s="3"/>
      <c r="L38" s="3"/>
      <c r="M38" s="3"/>
      <c r="N38" s="3"/>
      <c r="O38" s="3"/>
      <c r="P38" s="3"/>
      <c r="Q38" s="3"/>
    </row>
    <row r="39" customFormat="false" ht="15" hidden="false" customHeight="true" outlineLevel="0" collapsed="false">
      <c r="A39" s="5" t="s">
        <v>295</v>
      </c>
      <c r="B39" s="5"/>
      <c r="C39" s="5"/>
      <c r="D39" s="5"/>
      <c r="E39" s="5"/>
      <c r="F39" s="5"/>
      <c r="G39" s="5"/>
      <c r="H39" s="5"/>
      <c r="I39" s="5"/>
      <c r="J39" s="5"/>
      <c r="K39" s="5"/>
      <c r="L39" s="5"/>
      <c r="M39" s="5"/>
      <c r="N39" s="5"/>
      <c r="O39" s="5"/>
      <c r="P39" s="5"/>
      <c r="Q39" s="5"/>
    </row>
    <row r="40" customFormat="false" ht="15" hidden="false" customHeight="true" outlineLevel="0" collapsed="false">
      <c r="A40" s="8" t="s">
        <v>296</v>
      </c>
      <c r="B40" s="3"/>
      <c r="C40" s="16" t="n">
        <f aca="false">$B$8*$B$10*$B$11/13*C$37</f>
        <v>818.842998134615</v>
      </c>
      <c r="D40" s="16" t="n">
        <f aca="false">$B$8*$B$10*$B$11/13*D$37</f>
        <v>835.219858097308</v>
      </c>
      <c r="E40" s="16" t="n">
        <f aca="false">$B$8*$B$10*$B$11/13*E$37</f>
        <v>851.59671806</v>
      </c>
      <c r="F40" s="16" t="n">
        <f aca="false">$B$8*$B$10*$B$11/13*F$37</f>
        <v>843.408288078654</v>
      </c>
      <c r="G40" s="16" t="n">
        <f aca="false">$B$8*$B$10*$B$11/13*G$37</f>
        <v>827.031428115962</v>
      </c>
      <c r="H40" s="16" t="n">
        <f aca="false">$B$8*$B$10*$B$11/13*H$37</f>
        <v>818.842998134615</v>
      </c>
      <c r="I40" s="16" t="n">
        <f aca="false">$B$8*$B$10*$B$11/13*I$37</f>
        <v>810.654568153269</v>
      </c>
      <c r="J40" s="16" t="n">
        <f aca="false">$B$8*$B$10*$B$11/13*J$37</f>
        <v>810.654568153269</v>
      </c>
      <c r="K40" s="16" t="n">
        <f aca="false">$B$8*$B$10*$B$11/13*K$37</f>
        <v>818.842998134615</v>
      </c>
      <c r="L40" s="16" t="n">
        <f aca="false">$B$8*$B$10*$B$11/13*L$37</f>
        <v>818.842998134615</v>
      </c>
      <c r="M40" s="16" t="n">
        <f aca="false">$B$8*$B$10*$B$11/13*M$37</f>
        <v>802.466138171923</v>
      </c>
      <c r="N40" s="16" t="n">
        <f aca="false">$B$8*$B$10*$B$11/13*N$37</f>
        <v>794.277708190577</v>
      </c>
      <c r="O40" s="16" t="n">
        <f aca="false">$B$8*$B$10*$B$11/13*O$37</f>
        <v>794.277708190577</v>
      </c>
      <c r="P40" s="20" t="n">
        <f aca="false">SUM(C40:O40)</f>
        <v>10644.95897575</v>
      </c>
      <c r="Q40" s="3"/>
    </row>
    <row r="41" customFormat="false" ht="15" hidden="false" customHeight="true" outlineLevel="0" collapsed="false">
      <c r="A41" s="8" t="s">
        <v>297</v>
      </c>
      <c r="B41" s="3"/>
      <c r="C41" s="16" t="n">
        <f aca="false">$B$8*(1-$B$10)*$B$11/13</f>
        <v>111.660408836538</v>
      </c>
      <c r="D41" s="16" t="n">
        <f aca="false">$B$8*(1-$B$10)*$B$11/13</f>
        <v>111.660408836538</v>
      </c>
      <c r="E41" s="16" t="n">
        <f aca="false">$B$8*(1-$B$10)*$B$11/13</f>
        <v>111.660408836538</v>
      </c>
      <c r="F41" s="16" t="n">
        <f aca="false">$B$8*(1-$B$10)*$B$11/13</f>
        <v>111.660408836538</v>
      </c>
      <c r="G41" s="16" t="n">
        <f aca="false">$B$8*(1-$B$10)*$B$11/13</f>
        <v>111.660408836538</v>
      </c>
      <c r="H41" s="16" t="n">
        <f aca="false">$B$8*(1-$B$10)*$B$11/13</f>
        <v>111.660408836538</v>
      </c>
      <c r="I41" s="16" t="n">
        <f aca="false">$B$8*(1-$B$10)*$B$11/13</f>
        <v>111.660408836538</v>
      </c>
      <c r="J41" s="16" t="n">
        <f aca="false">$B$8*(1-$B$10)*$B$11/13</f>
        <v>111.660408836538</v>
      </c>
      <c r="K41" s="16" t="n">
        <f aca="false">$B$8*(1-$B$10)*$B$11/13</f>
        <v>111.660408836538</v>
      </c>
      <c r="L41" s="16" t="n">
        <f aca="false">$B$8*(1-$B$10)*$B$11/13</f>
        <v>111.660408836538</v>
      </c>
      <c r="M41" s="16" t="n">
        <f aca="false">$B$8*(1-$B$10)*$B$11/13</f>
        <v>111.660408836538</v>
      </c>
      <c r="N41" s="16" t="n">
        <f aca="false">$B$8*(1-$B$10)*$B$11/13</f>
        <v>111.660408836538</v>
      </c>
      <c r="O41" s="16" t="n">
        <f aca="false">$B$8*(1-$B$10)*$B$11/13</f>
        <v>111.660408836538</v>
      </c>
      <c r="P41" s="20" t="n">
        <f aca="false">SUM(C41:O41)</f>
        <v>1451.585314875</v>
      </c>
      <c r="Q41" s="3"/>
    </row>
    <row r="42" customFormat="false" ht="15" hidden="false" customHeight="true" outlineLevel="0" collapsed="false">
      <c r="A42" s="6" t="s">
        <v>298</v>
      </c>
      <c r="B42" s="3"/>
      <c r="C42" s="20" t="n">
        <f aca="false">SUM(C40:C41)</f>
        <v>930.503406971154</v>
      </c>
      <c r="D42" s="20" t="n">
        <f aca="false">SUM(D40:D41)</f>
        <v>946.880266933846</v>
      </c>
      <c r="E42" s="20" t="n">
        <f aca="false">SUM(E40:E41)</f>
        <v>963.257126896539</v>
      </c>
      <c r="F42" s="20" t="n">
        <f aca="false">SUM(F40:F41)</f>
        <v>955.068696915192</v>
      </c>
      <c r="G42" s="20" t="n">
        <f aca="false">SUM(G40:G41)</f>
        <v>938.6918369525</v>
      </c>
      <c r="H42" s="20" t="n">
        <f aca="false">SUM(H40:H41)</f>
        <v>930.503406971154</v>
      </c>
      <c r="I42" s="20" t="n">
        <f aca="false">SUM(I40:I41)</f>
        <v>922.314976989808</v>
      </c>
      <c r="J42" s="20" t="n">
        <f aca="false">SUM(J40:J41)</f>
        <v>922.314976989808</v>
      </c>
      <c r="K42" s="20" t="n">
        <f aca="false">SUM(K40:K41)</f>
        <v>930.503406971154</v>
      </c>
      <c r="L42" s="20" t="n">
        <f aca="false">SUM(L40:L41)</f>
        <v>930.503406971154</v>
      </c>
      <c r="M42" s="20" t="n">
        <f aca="false">SUM(M40:M41)</f>
        <v>914.126547008461</v>
      </c>
      <c r="N42" s="20" t="n">
        <f aca="false">SUM(N40:N41)</f>
        <v>905.938117027115</v>
      </c>
      <c r="O42" s="20" t="n">
        <f aca="false">SUM(O40:O41)</f>
        <v>905.938117027115</v>
      </c>
      <c r="P42" s="20" t="n">
        <f aca="false">SUM(C42:O42)</f>
        <v>12096.544290625</v>
      </c>
      <c r="Q42" s="3"/>
    </row>
    <row r="43" customFormat="false" ht="15" hidden="false" customHeight="true" outlineLevel="0" collapsed="false">
      <c r="A43" s="3"/>
      <c r="B43" s="3"/>
      <c r="C43" s="3"/>
      <c r="D43" s="3"/>
      <c r="E43" s="3"/>
      <c r="F43" s="3"/>
      <c r="G43" s="3"/>
      <c r="H43" s="3"/>
      <c r="I43" s="3"/>
      <c r="J43" s="3"/>
      <c r="K43" s="3"/>
      <c r="L43" s="3"/>
      <c r="M43" s="3"/>
      <c r="N43" s="3"/>
      <c r="O43" s="3"/>
      <c r="P43" s="3"/>
      <c r="Q43" s="3"/>
    </row>
    <row r="44" customFormat="false" ht="15" hidden="false" customHeight="true" outlineLevel="0" collapsed="false">
      <c r="A44" s="5" t="s">
        <v>299</v>
      </c>
      <c r="B44" s="5"/>
      <c r="C44" s="5"/>
      <c r="D44" s="5"/>
      <c r="E44" s="5"/>
      <c r="F44" s="5"/>
      <c r="G44" s="5"/>
      <c r="H44" s="5"/>
      <c r="I44" s="5"/>
      <c r="J44" s="5"/>
      <c r="K44" s="5"/>
      <c r="L44" s="5"/>
      <c r="M44" s="5"/>
      <c r="N44" s="5"/>
      <c r="O44" s="5"/>
      <c r="P44" s="5"/>
      <c r="Q44" s="5"/>
    </row>
    <row r="45" customFormat="false" ht="15" hidden="false" customHeight="true" outlineLevel="0" collapsed="false">
      <c r="A45" s="8" t="s">
        <v>300</v>
      </c>
      <c r="B45" s="3"/>
      <c r="C45" s="16" t="n">
        <f aca="false">-IF(C$36=1,$B$13*$B$14/3,0)</f>
        <v>-627.3281875</v>
      </c>
      <c r="D45" s="16" t="n">
        <f aca="false">-IF(D$36=1,$B$13*$B$14/3,0)</f>
        <v>-0</v>
      </c>
      <c r="E45" s="16" t="n">
        <f aca="false">-IF(E$36=1,$B$13*$B$14/3,0)</f>
        <v>-0</v>
      </c>
      <c r="F45" s="16" t="n">
        <f aca="false">-IF(F$36=1,$B$13*$B$14/3,0)</f>
        <v>-0</v>
      </c>
      <c r="G45" s="16" t="n">
        <f aca="false">-IF(G$36=1,$B$13*$B$14/3,0)</f>
        <v>-627.3281875</v>
      </c>
      <c r="H45" s="16" t="n">
        <f aca="false">-IF(H$36=1,$B$13*$B$14/3,0)</f>
        <v>-0</v>
      </c>
      <c r="I45" s="16" t="n">
        <f aca="false">-IF(I$36=1,$B$13*$B$14/3,0)</f>
        <v>-0</v>
      </c>
      <c r="J45" s="16" t="n">
        <f aca="false">-IF(J$36=1,$B$13*$B$14/3,0)</f>
        <v>-0</v>
      </c>
      <c r="K45" s="16" t="n">
        <f aca="false">-IF(K$36=1,$B$13*$B$14/3,0)</f>
        <v>-0</v>
      </c>
      <c r="L45" s="16" t="n">
        <f aca="false">-IF(L$36=1,$B$13*$B$14/3,0)</f>
        <v>-627.3281875</v>
      </c>
      <c r="M45" s="16" t="n">
        <f aca="false">-IF(M$36=1,$B$13*$B$14/3,0)</f>
        <v>-0</v>
      </c>
      <c r="N45" s="16" t="n">
        <f aca="false">-IF(N$36=1,$B$13*$B$14/3,0)</f>
        <v>-0</v>
      </c>
      <c r="O45" s="16" t="n">
        <f aca="false">-IF(O$36=1,$B$13*$B$14/3,0)</f>
        <v>-0</v>
      </c>
      <c r="P45" s="20" t="n">
        <f aca="false">SUM(C45:O45)</f>
        <v>-1881.9845625</v>
      </c>
      <c r="Q45" s="3"/>
    </row>
    <row r="46" customFormat="false" ht="15" hidden="false" customHeight="true" outlineLevel="0" collapsed="false">
      <c r="A46" s="8" t="s">
        <v>301</v>
      </c>
      <c r="B46" s="3"/>
      <c r="C46" s="16" t="n">
        <f aca="false">-IF(C$36=1,$B$13*(1-$B$14)/3,0)</f>
        <v>-268.8549375</v>
      </c>
      <c r="D46" s="16" t="n">
        <f aca="false">-IF(D$36=1,$B$13*(1-$B$14)/3,0)</f>
        <v>-0</v>
      </c>
      <c r="E46" s="16" t="n">
        <f aca="false">-IF(E$36=1,$B$13*(1-$B$14)/3,0)</f>
        <v>-0</v>
      </c>
      <c r="F46" s="16" t="n">
        <f aca="false">-IF(F$36=1,$B$13*(1-$B$14)/3,0)</f>
        <v>-0</v>
      </c>
      <c r="G46" s="16" t="n">
        <f aca="false">-IF(G$36=1,$B$13*(1-$B$14)/3,0)</f>
        <v>-268.8549375</v>
      </c>
      <c r="H46" s="16" t="n">
        <f aca="false">-IF(H$36=1,$B$13*(1-$B$14)/3,0)</f>
        <v>-0</v>
      </c>
      <c r="I46" s="16" t="n">
        <f aca="false">-IF(I$36=1,$B$13*(1-$B$14)/3,0)</f>
        <v>-0</v>
      </c>
      <c r="J46" s="16" t="n">
        <f aca="false">-IF(J$36=1,$B$13*(1-$B$14)/3,0)</f>
        <v>-0</v>
      </c>
      <c r="K46" s="16" t="n">
        <f aca="false">-IF(K$36=1,$B$13*(1-$B$14)/3,0)</f>
        <v>-0</v>
      </c>
      <c r="L46" s="16" t="n">
        <f aca="false">-IF(L$36=1,$B$13*(1-$B$14)/3,0)</f>
        <v>-268.8549375</v>
      </c>
      <c r="M46" s="16" t="n">
        <f aca="false">-IF(M$36=1,$B$13*(1-$B$14)/3,0)</f>
        <v>-0</v>
      </c>
      <c r="N46" s="16" t="n">
        <f aca="false">-IF(N$36=1,$B$13*(1-$B$14)/3,0)</f>
        <v>-0</v>
      </c>
      <c r="O46" s="16" t="n">
        <f aca="false">-IF(O$36=1,$B$13*(1-$B$14)/3,0)</f>
        <v>-0</v>
      </c>
      <c r="P46" s="20" t="n">
        <f aca="false">SUM(C46:O46)</f>
        <v>-806.5648125</v>
      </c>
      <c r="Q46" s="3"/>
    </row>
    <row r="47" customFormat="false" ht="15" hidden="false" customHeight="true" outlineLevel="0" collapsed="false">
      <c r="A47" s="8" t="s">
        <v>302</v>
      </c>
      <c r="B47" s="3"/>
      <c r="C47" s="16" t="n">
        <f aca="false">-$B$8*$B$15/13</f>
        <v>-103.914086057692</v>
      </c>
      <c r="D47" s="16" t="n">
        <f aca="false">-$B$8*$B$15/13</f>
        <v>-103.914086057692</v>
      </c>
      <c r="E47" s="16" t="n">
        <f aca="false">-$B$8*$B$15/13</f>
        <v>-103.914086057692</v>
      </c>
      <c r="F47" s="16" t="n">
        <f aca="false">-$B$8*$B$15/13</f>
        <v>-103.914086057692</v>
      </c>
      <c r="G47" s="16" t="n">
        <f aca="false">-$B$8*$B$15/13</f>
        <v>-103.914086057692</v>
      </c>
      <c r="H47" s="16" t="n">
        <f aca="false">-$B$8*$B$15/13</f>
        <v>-103.914086057692</v>
      </c>
      <c r="I47" s="16" t="n">
        <f aca="false">-$B$8*$B$15/13</f>
        <v>-103.914086057692</v>
      </c>
      <c r="J47" s="16" t="n">
        <f aca="false">-$B$8*$B$15/13</f>
        <v>-103.914086057692</v>
      </c>
      <c r="K47" s="16" t="n">
        <f aca="false">-$B$8*$B$15/13</f>
        <v>-103.914086057692</v>
      </c>
      <c r="L47" s="16" t="n">
        <f aca="false">-$B$8*$B$15/13</f>
        <v>-103.914086057692</v>
      </c>
      <c r="M47" s="16" t="n">
        <f aca="false">-$B$8*$B$15/13</f>
        <v>-103.914086057692</v>
      </c>
      <c r="N47" s="16" t="n">
        <f aca="false">-$B$8*$B$15/13</f>
        <v>-103.914086057692</v>
      </c>
      <c r="O47" s="16" t="n">
        <f aca="false">-$B$8*$B$15/13</f>
        <v>-103.914086057692</v>
      </c>
      <c r="P47" s="20" t="n">
        <f aca="false">SUM(C47:O47)</f>
        <v>-1350.88311875</v>
      </c>
      <c r="Q47" s="3"/>
    </row>
    <row r="48" customFormat="false" ht="15" hidden="false" customHeight="true" outlineLevel="0" collapsed="false">
      <c r="A48" s="8" t="s">
        <v>303</v>
      </c>
      <c r="B48" s="3"/>
      <c r="C48" s="16" t="n">
        <f aca="false">-$B$8*$B$16/13</f>
        <v>-99.1907185096154</v>
      </c>
      <c r="D48" s="16" t="n">
        <f aca="false">-$B$8*$B$16/13</f>
        <v>-99.1907185096154</v>
      </c>
      <c r="E48" s="16" t="n">
        <f aca="false">-$B$8*$B$16/13</f>
        <v>-99.1907185096154</v>
      </c>
      <c r="F48" s="16" t="n">
        <f aca="false">-$B$8*$B$16/13</f>
        <v>-99.1907185096154</v>
      </c>
      <c r="G48" s="16" t="n">
        <f aca="false">-$B$8*$B$16/13</f>
        <v>-99.1907185096154</v>
      </c>
      <c r="H48" s="16" t="n">
        <f aca="false">-$B$8*$B$16/13</f>
        <v>-99.1907185096154</v>
      </c>
      <c r="I48" s="16" t="n">
        <f aca="false">-$B$8*$B$16/13</f>
        <v>-99.1907185096154</v>
      </c>
      <c r="J48" s="16" t="n">
        <f aca="false">-$B$8*$B$16/13</f>
        <v>-99.1907185096154</v>
      </c>
      <c r="K48" s="16" t="n">
        <f aca="false">-$B$8*$B$16/13</f>
        <v>-99.1907185096154</v>
      </c>
      <c r="L48" s="16" t="n">
        <f aca="false">-$B$8*$B$16/13</f>
        <v>-99.1907185096154</v>
      </c>
      <c r="M48" s="16" t="n">
        <f aca="false">-$B$8*$B$16/13</f>
        <v>-99.1907185096154</v>
      </c>
      <c r="N48" s="16" t="n">
        <f aca="false">-$B$8*$B$16/13</f>
        <v>-99.1907185096154</v>
      </c>
      <c r="O48" s="16" t="n">
        <f aca="false">-$B$8*$B$16/13</f>
        <v>-99.1907185096154</v>
      </c>
      <c r="P48" s="20" t="n">
        <f aca="false">SUM(C48:O48)</f>
        <v>-1289.479340625</v>
      </c>
      <c r="Q48" s="3"/>
    </row>
    <row r="49" customFormat="false" ht="15" hidden="false" customHeight="true" outlineLevel="0" collapsed="false">
      <c r="A49" s="8" t="s">
        <v>304</v>
      </c>
      <c r="B49" s="3"/>
      <c r="C49" s="16" t="n">
        <f aca="false">-IF(C$34=$C$17,$B$9*$B$17,0)</f>
        <v>-0</v>
      </c>
      <c r="D49" s="16" t="n">
        <f aca="false">-IF(D$34=$C$17,$B$9*$B$17,0)</f>
        <v>-1078.31025</v>
      </c>
      <c r="E49" s="16" t="n">
        <f aca="false">-IF(E$34=$C$17,$B$9*$B$17,0)</f>
        <v>-0</v>
      </c>
      <c r="F49" s="16" t="n">
        <f aca="false">-IF(F$34=$C$17,$B$9*$B$17,0)</f>
        <v>-0</v>
      </c>
      <c r="G49" s="16" t="n">
        <f aca="false">-IF(G$34=$C$17,$B$9*$B$17,0)</f>
        <v>-0</v>
      </c>
      <c r="H49" s="16" t="n">
        <f aca="false">-IF(H$34=$C$17,$B$9*$B$17,0)</f>
        <v>-0</v>
      </c>
      <c r="I49" s="16" t="n">
        <f aca="false">-IF(I$34=$C$17,$B$9*$B$17,0)</f>
        <v>-0</v>
      </c>
      <c r="J49" s="16" t="n">
        <f aca="false">-IF(J$34=$C$17,$B$9*$B$17,0)</f>
        <v>-0</v>
      </c>
      <c r="K49" s="16" t="n">
        <f aca="false">-IF(K$34=$C$17,$B$9*$B$17,0)</f>
        <v>-0</v>
      </c>
      <c r="L49" s="16" t="n">
        <f aca="false">-IF(L$34=$C$17,$B$9*$B$17,0)</f>
        <v>-0</v>
      </c>
      <c r="M49" s="16" t="n">
        <f aca="false">-IF(M$34=$C$17,$B$9*$B$17,0)</f>
        <v>-0</v>
      </c>
      <c r="N49" s="16" t="n">
        <f aca="false">-IF(N$34=$C$17,$B$9*$B$17,0)</f>
        <v>-0</v>
      </c>
      <c r="O49" s="16" t="n">
        <f aca="false">-IF(O$34=$C$17,$B$9*$B$17,0)</f>
        <v>-0</v>
      </c>
      <c r="P49" s="20" t="n">
        <f aca="false">SUM(C49:O49)</f>
        <v>-1078.31025</v>
      </c>
      <c r="Q49" s="3"/>
    </row>
    <row r="50" customFormat="false" ht="15" hidden="false" customHeight="true" outlineLevel="0" collapsed="false">
      <c r="A50" s="8" t="s">
        <v>305</v>
      </c>
      <c r="B50" s="3"/>
      <c r="C50" s="16" t="n">
        <f aca="false">-IF(C$36=1,$B$8*$B$18/3,0)</f>
        <v>-188.304919583333</v>
      </c>
      <c r="D50" s="16" t="n">
        <f aca="false">-IF(D$36=1,$B$8*$B$18/3,0)</f>
        <v>-0</v>
      </c>
      <c r="E50" s="16" t="n">
        <f aca="false">-IF(E$36=1,$B$8*$B$18/3,0)</f>
        <v>-0</v>
      </c>
      <c r="F50" s="16" t="n">
        <f aca="false">-IF(F$36=1,$B$8*$B$18/3,0)</f>
        <v>-0</v>
      </c>
      <c r="G50" s="16" t="n">
        <f aca="false">-IF(G$36=1,$B$8*$B$18/3,0)</f>
        <v>-188.304919583333</v>
      </c>
      <c r="H50" s="16" t="n">
        <f aca="false">-IF(H$36=1,$B$8*$B$18/3,0)</f>
        <v>-0</v>
      </c>
      <c r="I50" s="16" t="n">
        <f aca="false">-IF(I$36=1,$B$8*$B$18/3,0)</f>
        <v>-0</v>
      </c>
      <c r="J50" s="16" t="n">
        <f aca="false">-IF(J$36=1,$B$8*$B$18/3,0)</f>
        <v>-0</v>
      </c>
      <c r="K50" s="16" t="n">
        <f aca="false">-IF(K$36=1,$B$8*$B$18/3,0)</f>
        <v>-0</v>
      </c>
      <c r="L50" s="16" t="n">
        <f aca="false">-IF(L$36=1,$B$8*$B$18/3,0)</f>
        <v>-188.304919583333</v>
      </c>
      <c r="M50" s="16" t="n">
        <f aca="false">-IF(M$36=1,$B$8*$B$18/3,0)</f>
        <v>-0</v>
      </c>
      <c r="N50" s="16" t="n">
        <f aca="false">-IF(N$36=1,$B$8*$B$18/3,0)</f>
        <v>-0</v>
      </c>
      <c r="O50" s="16" t="n">
        <f aca="false">-IF(O$36=1,$B$8*$B$18/3,0)</f>
        <v>-0</v>
      </c>
      <c r="P50" s="20" t="n">
        <f aca="false">SUM(C50:O50)</f>
        <v>-564.91475875</v>
      </c>
      <c r="Q50" s="3"/>
    </row>
    <row r="51" customFormat="false" ht="15" hidden="false" customHeight="true" outlineLevel="0" collapsed="false">
      <c r="A51" s="8" t="s">
        <v>306</v>
      </c>
      <c r="B51" s="3"/>
      <c r="C51" s="16" t="n">
        <f aca="false">-$B$8*$B$19/13</f>
        <v>-111.471474134615</v>
      </c>
      <c r="D51" s="16" t="n">
        <f aca="false">-$B$8*$B$19/13</f>
        <v>-111.471474134615</v>
      </c>
      <c r="E51" s="16" t="n">
        <f aca="false">-$B$8*$B$19/13</f>
        <v>-111.471474134615</v>
      </c>
      <c r="F51" s="16" t="n">
        <f aca="false">-$B$8*$B$19/13</f>
        <v>-111.471474134615</v>
      </c>
      <c r="G51" s="16" t="n">
        <f aca="false">-$B$8*$B$19/13</f>
        <v>-111.471474134615</v>
      </c>
      <c r="H51" s="16" t="n">
        <f aca="false">-$B$8*$B$19/13</f>
        <v>-111.471474134615</v>
      </c>
      <c r="I51" s="16" t="n">
        <f aca="false">-$B$8*$B$19/13</f>
        <v>-111.471474134615</v>
      </c>
      <c r="J51" s="16" t="n">
        <f aca="false">-$B$8*$B$19/13</f>
        <v>-111.471474134615</v>
      </c>
      <c r="K51" s="16" t="n">
        <f aca="false">-$B$8*$B$19/13</f>
        <v>-111.471474134615</v>
      </c>
      <c r="L51" s="16" t="n">
        <f aca="false">-$B$8*$B$19/13</f>
        <v>-111.471474134615</v>
      </c>
      <c r="M51" s="16" t="n">
        <f aca="false">-$B$8*$B$19/13</f>
        <v>-111.471474134615</v>
      </c>
      <c r="N51" s="16" t="n">
        <f aca="false">-$B$8*$B$19/13</f>
        <v>-111.471474134615</v>
      </c>
      <c r="O51" s="16" t="n">
        <f aca="false">-$B$8*$B$19/13</f>
        <v>-111.471474134615</v>
      </c>
      <c r="P51" s="20" t="n">
        <f aca="false">SUM(C51:O51)</f>
        <v>-1449.12916375</v>
      </c>
      <c r="Q51" s="3"/>
    </row>
    <row r="52" customFormat="false" ht="15" hidden="false" customHeight="true" outlineLevel="0" collapsed="false">
      <c r="A52" s="8" t="s">
        <v>307</v>
      </c>
      <c r="B52" s="3"/>
      <c r="C52" s="16" t="n">
        <f aca="false">-$B$8*$B$20/13</f>
        <v>-94.4673509615385</v>
      </c>
      <c r="D52" s="16" t="n">
        <f aca="false">-$B$8*$B$20/13</f>
        <v>-94.4673509615385</v>
      </c>
      <c r="E52" s="16" t="n">
        <f aca="false">-$B$8*$B$20/13</f>
        <v>-94.4673509615385</v>
      </c>
      <c r="F52" s="16" t="n">
        <f aca="false">-$B$8*$B$20/13</f>
        <v>-94.4673509615385</v>
      </c>
      <c r="G52" s="16" t="n">
        <f aca="false">-$B$8*$B$20/13</f>
        <v>-94.4673509615385</v>
      </c>
      <c r="H52" s="16" t="n">
        <f aca="false">-$B$8*$B$20/13</f>
        <v>-94.4673509615385</v>
      </c>
      <c r="I52" s="16" t="n">
        <f aca="false">-$B$8*$B$20/13</f>
        <v>-94.4673509615385</v>
      </c>
      <c r="J52" s="16" t="n">
        <f aca="false">-$B$8*$B$20/13</f>
        <v>-94.4673509615385</v>
      </c>
      <c r="K52" s="16" t="n">
        <f aca="false">-$B$8*$B$20/13</f>
        <v>-94.4673509615385</v>
      </c>
      <c r="L52" s="16" t="n">
        <f aca="false">-$B$8*$B$20/13</f>
        <v>-94.4673509615385</v>
      </c>
      <c r="M52" s="16" t="n">
        <f aca="false">-$B$8*$B$20/13</f>
        <v>-94.4673509615385</v>
      </c>
      <c r="N52" s="16" t="n">
        <f aca="false">-$B$8*$B$20/13</f>
        <v>-94.4673509615385</v>
      </c>
      <c r="O52" s="16" t="n">
        <f aca="false">-$B$8*$B$20/13</f>
        <v>-94.4673509615385</v>
      </c>
      <c r="P52" s="20" t="n">
        <f aca="false">SUM(C52:O52)</f>
        <v>-1228.0755625</v>
      </c>
      <c r="Q52" s="3"/>
    </row>
    <row r="53" customFormat="false" ht="15" hidden="false" customHeight="true" outlineLevel="0" collapsed="false">
      <c r="A53" s="6" t="s">
        <v>308</v>
      </c>
      <c r="B53" s="3"/>
      <c r="C53" s="20" t="n">
        <f aca="false">SUM(C45:C52)</f>
        <v>-1493.53167424679</v>
      </c>
      <c r="D53" s="20" t="n">
        <f aca="false">SUM(D45:D52)</f>
        <v>-1487.35387966346</v>
      </c>
      <c r="E53" s="20" t="n">
        <f aca="false">SUM(E45:E52)</f>
        <v>-409.043629663462</v>
      </c>
      <c r="F53" s="20" t="n">
        <f aca="false">SUM(F45:F52)</f>
        <v>-409.043629663462</v>
      </c>
      <c r="G53" s="20" t="n">
        <f aca="false">SUM(G45:G52)</f>
        <v>-1493.53167424679</v>
      </c>
      <c r="H53" s="20" t="n">
        <f aca="false">SUM(H45:H52)</f>
        <v>-409.043629663462</v>
      </c>
      <c r="I53" s="20" t="n">
        <f aca="false">SUM(I45:I52)</f>
        <v>-409.043629663462</v>
      </c>
      <c r="J53" s="20" t="n">
        <f aca="false">SUM(J45:J52)</f>
        <v>-409.043629663462</v>
      </c>
      <c r="K53" s="20" t="n">
        <f aca="false">SUM(K45:K52)</f>
        <v>-409.043629663462</v>
      </c>
      <c r="L53" s="20" t="n">
        <f aca="false">SUM(L45:L52)</f>
        <v>-1493.53167424679</v>
      </c>
      <c r="M53" s="20" t="n">
        <f aca="false">SUM(M45:M52)</f>
        <v>-409.043629663462</v>
      </c>
      <c r="N53" s="20" t="n">
        <f aca="false">SUM(N45:N52)</f>
        <v>-409.043629663462</v>
      </c>
      <c r="O53" s="20" t="n">
        <f aca="false">SUM(O45:O52)</f>
        <v>-409.043629663462</v>
      </c>
      <c r="P53" s="20" t="n">
        <f aca="false">SUM(C53:O53)</f>
        <v>-9649.341569375</v>
      </c>
      <c r="Q53" s="3"/>
    </row>
    <row r="54" customFormat="false" ht="15" hidden="false" customHeight="true" outlineLevel="0" collapsed="false">
      <c r="A54" s="6" t="s">
        <v>309</v>
      </c>
      <c r="B54" s="3"/>
      <c r="C54" s="20" t="n">
        <f aca="false">C42+C53</f>
        <v>-563.028267275641</v>
      </c>
      <c r="D54" s="20" t="n">
        <f aca="false">D42+D53</f>
        <v>-540.473612729615</v>
      </c>
      <c r="E54" s="20" t="n">
        <f aca="false">E42+E53</f>
        <v>554.213497233077</v>
      </c>
      <c r="F54" s="20" t="n">
        <f aca="false">F42+F53</f>
        <v>546.025067251731</v>
      </c>
      <c r="G54" s="20" t="n">
        <f aca="false">G42+G53</f>
        <v>-554.839837294295</v>
      </c>
      <c r="H54" s="20" t="n">
        <f aca="false">H42+H53</f>
        <v>521.459777307692</v>
      </c>
      <c r="I54" s="20" t="n">
        <f aca="false">I42+I53</f>
        <v>513.271347326346</v>
      </c>
      <c r="J54" s="20" t="n">
        <f aca="false">J42+J53</f>
        <v>513.271347326346</v>
      </c>
      <c r="K54" s="20" t="n">
        <f aca="false">K42+K53</f>
        <v>521.459777307692</v>
      </c>
      <c r="L54" s="20" t="n">
        <f aca="false">L42+L53</f>
        <v>-563.028267275641</v>
      </c>
      <c r="M54" s="20" t="n">
        <f aca="false">M42+M53</f>
        <v>505.082917345</v>
      </c>
      <c r="N54" s="20" t="n">
        <f aca="false">N42+N53</f>
        <v>496.894487363654</v>
      </c>
      <c r="O54" s="20" t="n">
        <f aca="false">O42+O53</f>
        <v>496.894487363654</v>
      </c>
      <c r="P54" s="20" t="n">
        <f aca="false">SUM(C54:O54)</f>
        <v>2447.20272125</v>
      </c>
      <c r="Q54" s="3"/>
    </row>
    <row r="55" customFormat="false" ht="15" hidden="false" customHeight="true" outlineLevel="0" collapsed="false">
      <c r="A55" s="3"/>
      <c r="B55" s="3"/>
      <c r="C55" s="3"/>
      <c r="D55" s="3"/>
      <c r="E55" s="3"/>
      <c r="F55" s="3"/>
      <c r="G55" s="3"/>
      <c r="H55" s="3"/>
      <c r="I55" s="3"/>
      <c r="J55" s="3"/>
      <c r="K55" s="3"/>
      <c r="L55" s="3"/>
      <c r="M55" s="3"/>
      <c r="N55" s="3"/>
      <c r="O55" s="3"/>
      <c r="P55" s="3"/>
      <c r="Q55" s="3"/>
    </row>
    <row r="56" customFormat="false" ht="15" hidden="false" customHeight="true" outlineLevel="0" collapsed="false">
      <c r="A56" s="5" t="s">
        <v>310</v>
      </c>
      <c r="B56" s="5"/>
      <c r="C56" s="5"/>
      <c r="D56" s="5"/>
      <c r="E56" s="5"/>
      <c r="F56" s="5"/>
      <c r="G56" s="5"/>
      <c r="H56" s="5"/>
      <c r="I56" s="5"/>
      <c r="J56" s="5"/>
      <c r="K56" s="5"/>
      <c r="L56" s="5"/>
      <c r="M56" s="5"/>
      <c r="N56" s="5"/>
      <c r="O56" s="5"/>
      <c r="P56" s="5"/>
      <c r="Q56" s="5"/>
    </row>
    <row r="57" customFormat="false" ht="15" hidden="false" customHeight="true" outlineLevel="0" collapsed="false">
      <c r="A57" s="8" t="s">
        <v>311</v>
      </c>
      <c r="B57" s="3"/>
      <c r="C57" s="16" t="n">
        <f aca="false">-$B$21/13*(1-$B$22)</f>
        <v>-263.076923076923</v>
      </c>
      <c r="D57" s="16" t="n">
        <f aca="false">-$B$21/13*(1-$B$22)</f>
        <v>-263.076923076923</v>
      </c>
      <c r="E57" s="16" t="n">
        <f aca="false">-$B$21/13*(1-$B$22)</f>
        <v>-263.076923076923</v>
      </c>
      <c r="F57" s="16" t="n">
        <f aca="false">-$B$21/13*(1-$B$22)</f>
        <v>-263.076923076923</v>
      </c>
      <c r="G57" s="16" t="n">
        <f aca="false">-$B$21/13*(1-$B$22)</f>
        <v>-263.076923076923</v>
      </c>
      <c r="H57" s="16" t="n">
        <f aca="false">-$B$21/13*(1-$B$22)</f>
        <v>-263.076923076923</v>
      </c>
      <c r="I57" s="16" t="n">
        <f aca="false">-$B$21/13*(1-$B$22)</f>
        <v>-263.076923076923</v>
      </c>
      <c r="J57" s="16" t="n">
        <f aca="false">-$B$21/13*(1-$B$22)</f>
        <v>-263.076923076923</v>
      </c>
      <c r="K57" s="16" t="n">
        <f aca="false">-$B$21/13*(1-$B$22)</f>
        <v>-263.076923076923</v>
      </c>
      <c r="L57" s="16" t="n">
        <f aca="false">-$B$21/13*(1-$B$22)</f>
        <v>-263.076923076923</v>
      </c>
      <c r="M57" s="16" t="n">
        <f aca="false">-$B$21/13*(1-$B$22)</f>
        <v>-263.076923076923</v>
      </c>
      <c r="N57" s="16" t="n">
        <f aca="false">-$B$21/13*(1-$B$22)</f>
        <v>-263.076923076923</v>
      </c>
      <c r="O57" s="16" t="n">
        <f aca="false">-$B$21/13*(1-$B$22)</f>
        <v>-263.076923076923</v>
      </c>
      <c r="P57" s="20" t="n">
        <f aca="false">SUM(C57:O57)</f>
        <v>-3420</v>
      </c>
      <c r="Q57" s="3"/>
    </row>
    <row r="58" customFormat="false" ht="15" hidden="false" customHeight="true" outlineLevel="0" collapsed="false">
      <c r="A58" s="8" t="s">
        <v>312</v>
      </c>
      <c r="B58" s="3"/>
      <c r="C58" s="16" t="n">
        <f aca="false">-IF(C$34=$C$23,$B$23*(1-$B$24*IF('0_Control_Panel'!$E$72&gt;0,1,0)),0)</f>
        <v>-0</v>
      </c>
      <c r="D58" s="16" t="n">
        <f aca="false">-IF(D$34=$C$23,$B$23*(1-$B$24*IF('0_Control_Panel'!$E$72&gt;0,1,0)),0)</f>
        <v>-0</v>
      </c>
      <c r="E58" s="16" t="n">
        <f aca="false">-IF(E$34=$C$23,$B$23*(1-$B$24*IF('0_Control_Panel'!$E$72&gt;0,1,0)),0)</f>
        <v>-0</v>
      </c>
      <c r="F58" s="16" t="n">
        <f aca="false">-IF(F$34=$C$23,$B$23*(1-$B$24*IF('0_Control_Panel'!$E$72&gt;0,1,0)),0)</f>
        <v>-0</v>
      </c>
      <c r="G58" s="16" t="n">
        <f aca="false">-IF(G$34=$C$23,$B$23*(1-$B$24*IF('0_Control_Panel'!$E$72&gt;0,1,0)),0)</f>
        <v>-0</v>
      </c>
      <c r="H58" s="16" t="n">
        <f aca="false">-IF(H$34=$C$23,$B$23*(1-$B$24*IF('0_Control_Panel'!$E$72&gt;0,1,0)),0)</f>
        <v>-0</v>
      </c>
      <c r="I58" s="16" t="n">
        <f aca="false">-IF(I$34=$C$23,$B$23*(1-$B$24*IF('0_Control_Panel'!$E$72&gt;0,1,0)),0)</f>
        <v>-0</v>
      </c>
      <c r="J58" s="16" t="n">
        <f aca="false">-IF(J$34=$C$23,$B$23*(1-$B$24*IF('0_Control_Panel'!$E$72&gt;0,1,0)),0)</f>
        <v>-0</v>
      </c>
      <c r="K58" s="16" t="n">
        <f aca="false">-IF(K$34=$C$23,$B$23*(1-$B$24*IF('0_Control_Panel'!$E$72&gt;0,1,0)),0)</f>
        <v>-0</v>
      </c>
      <c r="L58" s="16" t="n">
        <f aca="false">-IF(L$34=$C$23,$B$23*(1-$B$24*IF('0_Control_Panel'!$E$72&gt;0,1,0)),0)</f>
        <v>-2500</v>
      </c>
      <c r="M58" s="16" t="n">
        <f aca="false">-IF(M$34=$C$23,$B$23*(1-$B$24*IF('0_Control_Panel'!$E$72&gt;0,1,0)),0)</f>
        <v>-0</v>
      </c>
      <c r="N58" s="16" t="n">
        <f aca="false">-IF(N$34=$C$23,$B$23*(1-$B$24*IF('0_Control_Panel'!$E$72&gt;0,1,0)),0)</f>
        <v>-0</v>
      </c>
      <c r="O58" s="16" t="n">
        <f aca="false">-IF(O$34=$C$23,$B$23*(1-$B$24*IF('0_Control_Panel'!$E$72&gt;0,1,0)),0)</f>
        <v>-0</v>
      </c>
      <c r="P58" s="20" t="n">
        <f aca="false">SUM(C58:O58)</f>
        <v>-2500</v>
      </c>
      <c r="Q58" s="3"/>
    </row>
    <row r="59" customFormat="false" ht="15" hidden="false" customHeight="true" outlineLevel="0" collapsed="false">
      <c r="A59" s="8" t="s">
        <v>313</v>
      </c>
      <c r="B59" s="3"/>
      <c r="C59" s="16" t="n">
        <f aca="false">-IF(C$34=$C$25,$B$25,0)</f>
        <v>-0</v>
      </c>
      <c r="D59" s="16" t="n">
        <f aca="false">-IF(D$34=$C$25,$B$25,0)</f>
        <v>-0</v>
      </c>
      <c r="E59" s="16" t="n">
        <f aca="false">-IF(E$34=$C$25,$B$25,0)</f>
        <v>-0</v>
      </c>
      <c r="F59" s="16" t="n">
        <f aca="false">-IF(F$34=$C$25,$B$25,0)</f>
        <v>-0</v>
      </c>
      <c r="G59" s="16" t="n">
        <f aca="false">-IF(G$34=$C$25,$B$25,0)</f>
        <v>-0</v>
      </c>
      <c r="H59" s="16" t="n">
        <f aca="false">-IF(H$34=$C$25,$B$25,0)</f>
        <v>-0</v>
      </c>
      <c r="I59" s="16" t="n">
        <f aca="false">-IF(I$34=$C$25,$B$25,0)</f>
        <v>-88.6875</v>
      </c>
      <c r="J59" s="16" t="n">
        <f aca="false">-IF(J$34=$C$25,$B$25,0)</f>
        <v>-0</v>
      </c>
      <c r="K59" s="16" t="n">
        <f aca="false">-IF(K$34=$C$25,$B$25,0)</f>
        <v>-0</v>
      </c>
      <c r="L59" s="16" t="n">
        <f aca="false">-IF(L$34=$C$25,$B$25,0)</f>
        <v>-0</v>
      </c>
      <c r="M59" s="16" t="n">
        <f aca="false">-IF(M$34=$C$25,$B$25,0)</f>
        <v>-0</v>
      </c>
      <c r="N59" s="16" t="n">
        <f aca="false">-IF(N$34=$C$25,$B$25,0)</f>
        <v>-0</v>
      </c>
      <c r="O59" s="16" t="n">
        <f aca="false">-IF(O$34=$C$25,$B$25,0)</f>
        <v>-0</v>
      </c>
      <c r="P59" s="20" t="n">
        <f aca="false">SUM(C59:O59)</f>
        <v>-88.6875</v>
      </c>
      <c r="Q59" s="3"/>
    </row>
    <row r="60" customFormat="false" ht="15" hidden="false" customHeight="true" outlineLevel="0" collapsed="false">
      <c r="A60" s="8" t="s">
        <v>314</v>
      </c>
      <c r="B60" s="3"/>
      <c r="C60" s="16" t="n">
        <f aca="false">-IF(C$34=$C$26,$B$26,0)</f>
        <v>-0</v>
      </c>
      <c r="D60" s="16" t="n">
        <f aca="false">-IF(D$34=$C$26,$B$26,0)</f>
        <v>-0</v>
      </c>
      <c r="E60" s="16" t="n">
        <f aca="false">-IF(E$34=$C$26,$B$26,0)</f>
        <v>-0</v>
      </c>
      <c r="F60" s="16" t="n">
        <f aca="false">-IF(F$34=$C$26,$B$26,0)</f>
        <v>-0</v>
      </c>
      <c r="G60" s="16" t="n">
        <f aca="false">-IF(G$34=$C$26,$B$26,0)</f>
        <v>-0</v>
      </c>
      <c r="H60" s="16" t="n">
        <f aca="false">-IF(H$34=$C$26,$B$26,0)</f>
        <v>-0</v>
      </c>
      <c r="I60" s="16" t="n">
        <f aca="false">-IF(I$34=$C$26,$B$26,0)</f>
        <v>-0</v>
      </c>
      <c r="J60" s="16" t="n">
        <f aca="false">-IF(J$34=$C$26,$B$26,0)</f>
        <v>-0</v>
      </c>
      <c r="K60" s="16" t="n">
        <f aca="false">-IF(K$34=$C$26,$B$26,0)</f>
        <v>-0</v>
      </c>
      <c r="L60" s="16" t="n">
        <f aca="false">-IF(L$34=$C$26,$B$26,0)</f>
        <v>-0</v>
      </c>
      <c r="M60" s="16" t="n">
        <f aca="false">-IF(M$34=$C$26,$B$26,0)</f>
        <v>-0</v>
      </c>
      <c r="N60" s="16" t="n">
        <f aca="false">-IF(N$34=$C$26,$B$26,0)</f>
        <v>-0</v>
      </c>
      <c r="O60" s="16" t="n">
        <f aca="false">-IF(O$34=$C$26,$B$26,0)</f>
        <v>-0</v>
      </c>
      <c r="P60" s="20" t="n">
        <f aca="false">SUM(C60:O60)</f>
        <v>0</v>
      </c>
      <c r="Q60" s="3"/>
    </row>
    <row r="61" customFormat="false" ht="15" hidden="false" customHeight="true" outlineLevel="0" collapsed="false">
      <c r="A61" s="8" t="s">
        <v>315</v>
      </c>
      <c r="B61" s="3"/>
      <c r="C61" s="16" t="n">
        <f aca="false">-'0_Control_Panel'!$E$85*$B$27/13</f>
        <v>-2.88461538461538</v>
      </c>
      <c r="D61" s="16" t="n">
        <f aca="false">-'0_Control_Panel'!$E$85*$B$27/13</f>
        <v>-2.88461538461538</v>
      </c>
      <c r="E61" s="16" t="n">
        <f aca="false">-'0_Control_Panel'!$E$85*$B$27/13</f>
        <v>-2.88461538461538</v>
      </c>
      <c r="F61" s="16" t="n">
        <f aca="false">-'0_Control_Panel'!$E$85*$B$27/13</f>
        <v>-2.88461538461538</v>
      </c>
      <c r="G61" s="16" t="n">
        <f aca="false">-'0_Control_Panel'!$E$85*$B$27/13</f>
        <v>-2.88461538461538</v>
      </c>
      <c r="H61" s="16" t="n">
        <f aca="false">-'0_Control_Panel'!$E$85*$B$27/13</f>
        <v>-2.88461538461538</v>
      </c>
      <c r="I61" s="16" t="n">
        <f aca="false">-'0_Control_Panel'!$E$85*$B$27/13</f>
        <v>-2.88461538461538</v>
      </c>
      <c r="J61" s="16" t="n">
        <f aca="false">-'0_Control_Panel'!$E$85*$B$27/13</f>
        <v>-2.88461538461538</v>
      </c>
      <c r="K61" s="16" t="n">
        <f aca="false">-'0_Control_Panel'!$E$85*$B$27/13</f>
        <v>-2.88461538461538</v>
      </c>
      <c r="L61" s="16" t="n">
        <f aca="false">-'0_Control_Panel'!$E$85*$B$27/13</f>
        <v>-2.88461538461538</v>
      </c>
      <c r="M61" s="16" t="n">
        <f aca="false">-'0_Control_Panel'!$E$85*$B$27/13</f>
        <v>-2.88461538461538</v>
      </c>
      <c r="N61" s="16" t="n">
        <f aca="false">-'0_Control_Panel'!$E$85*$B$27/13</f>
        <v>-2.88461538461538</v>
      </c>
      <c r="O61" s="16" t="n">
        <f aca="false">-'0_Control_Panel'!$E$85*$B$27/13</f>
        <v>-2.88461538461538</v>
      </c>
      <c r="P61" s="20" t="n">
        <f aca="false">SUM(C61:O61)</f>
        <v>-37.5</v>
      </c>
      <c r="Q61" s="3"/>
    </row>
    <row r="62" customFormat="false" ht="15" hidden="false" customHeight="true" outlineLevel="0" collapsed="false">
      <c r="A62" s="8" t="s">
        <v>316</v>
      </c>
      <c r="B62" s="3"/>
      <c r="C62" s="16" t="n">
        <f aca="false">IF(C$34=$C$28,$B$28,0)</f>
        <v>0</v>
      </c>
      <c r="D62" s="16" t="n">
        <f aca="false">IF(D$34=$C$28,$B$28,0)</f>
        <v>0</v>
      </c>
      <c r="E62" s="16" t="n">
        <f aca="false">IF(E$34=$C$28,$B$28,0)</f>
        <v>0</v>
      </c>
      <c r="F62" s="16" t="n">
        <f aca="false">IF(F$34=$C$28,$B$28,0)</f>
        <v>0</v>
      </c>
      <c r="G62" s="16" t="n">
        <f aca="false">IF(G$34=$C$28,$B$28,0)</f>
        <v>0</v>
      </c>
      <c r="H62" s="16" t="n">
        <f aca="false">IF(H$34=$C$28,$B$28,0)</f>
        <v>0</v>
      </c>
      <c r="I62" s="16" t="n">
        <f aca="false">IF(I$34=$C$28,$B$28,0)</f>
        <v>0</v>
      </c>
      <c r="J62" s="16" t="n">
        <f aca="false">IF(J$34=$C$28,$B$28,0)</f>
        <v>1500</v>
      </c>
      <c r="K62" s="16" t="n">
        <f aca="false">IF(K$34=$C$28,$B$28,0)</f>
        <v>0</v>
      </c>
      <c r="L62" s="16" t="n">
        <f aca="false">IF(L$34=$C$28,$B$28,0)</f>
        <v>0</v>
      </c>
      <c r="M62" s="16" t="n">
        <f aca="false">IF(M$34=$C$28,$B$28,0)</f>
        <v>0</v>
      </c>
      <c r="N62" s="16" t="n">
        <f aca="false">IF(N$34=$C$28,$B$28,0)</f>
        <v>0</v>
      </c>
      <c r="O62" s="16" t="n">
        <f aca="false">IF(O$34=$C$28,$B$28,0)</f>
        <v>0</v>
      </c>
      <c r="P62" s="20" t="n">
        <f aca="false">SUM(C62:O62)</f>
        <v>1500</v>
      </c>
      <c r="Q62" s="3"/>
    </row>
    <row r="63" customFormat="false" ht="15" hidden="false" customHeight="true" outlineLevel="0" collapsed="false">
      <c r="A63" s="8" t="s">
        <v>317</v>
      </c>
      <c r="B63" s="3"/>
      <c r="C63" s="16" t="n">
        <f aca="false">IF(C$34=$C$29,$B$29,0)</f>
        <v>0</v>
      </c>
      <c r="D63" s="16" t="n">
        <f aca="false">IF(D$34=$C$29,$B$29,0)</f>
        <v>0</v>
      </c>
      <c r="E63" s="16" t="n">
        <f aca="false">IF(E$34=$C$29,$B$29,0)</f>
        <v>0</v>
      </c>
      <c r="F63" s="16" t="n">
        <f aca="false">IF(F$34=$C$29,$B$29,0)</f>
        <v>0</v>
      </c>
      <c r="G63" s="16" t="n">
        <f aca="false">IF(G$34=$C$29,$B$29,0)</f>
        <v>0</v>
      </c>
      <c r="H63" s="16" t="n">
        <f aca="false">IF(H$34=$C$29,$B$29,0)</f>
        <v>0</v>
      </c>
      <c r="I63" s="16" t="n">
        <f aca="false">IF(I$34=$C$29,$B$29,0)</f>
        <v>0</v>
      </c>
      <c r="J63" s="16" t="n">
        <f aca="false">IF(J$34=$C$29,$B$29,0)</f>
        <v>0</v>
      </c>
      <c r="K63" s="16" t="n">
        <f aca="false">IF(K$34=$C$29,$B$29,0)</f>
        <v>0</v>
      </c>
      <c r="L63" s="16" t="n">
        <f aca="false">IF(L$34=$C$29,$B$29,0)</f>
        <v>0</v>
      </c>
      <c r="M63" s="16" t="n">
        <f aca="false">IF(M$34=$C$29,$B$29,0)</f>
        <v>0</v>
      </c>
      <c r="N63" s="16" t="n">
        <f aca="false">IF(N$34=$C$29,$B$29,0)</f>
        <v>0</v>
      </c>
      <c r="O63" s="16" t="n">
        <f aca="false">IF(O$34=$C$29,$B$29,0)</f>
        <v>0</v>
      </c>
      <c r="P63" s="20" t="n">
        <f aca="false">SUM(C63:O63)</f>
        <v>0</v>
      </c>
      <c r="Q63" s="3"/>
    </row>
    <row r="64" customFormat="false" ht="15" hidden="false" customHeight="true" outlineLevel="0" collapsed="false">
      <c r="A64" s="6" t="s">
        <v>318</v>
      </c>
      <c r="B64" s="3"/>
      <c r="C64" s="20" t="n">
        <f aca="false">C54+SUM(C57:C63)</f>
        <v>-828.989805737179</v>
      </c>
      <c r="D64" s="20" t="n">
        <f aca="false">D54+SUM(D57:D63)</f>
        <v>-806.435151191153</v>
      </c>
      <c r="E64" s="20" t="n">
        <f aca="false">E54+SUM(E57:E63)</f>
        <v>288.251958771539</v>
      </c>
      <c r="F64" s="20" t="n">
        <f aca="false">F54+SUM(F57:F63)</f>
        <v>280.063528790192</v>
      </c>
      <c r="G64" s="20" t="n">
        <f aca="false">G54+SUM(G57:G63)</f>
        <v>-820.801375755833</v>
      </c>
      <c r="H64" s="20" t="n">
        <f aca="false">H54+SUM(H57:H63)</f>
        <v>255.498238846154</v>
      </c>
      <c r="I64" s="20" t="n">
        <f aca="false">I54+SUM(I57:I63)</f>
        <v>158.622308864808</v>
      </c>
      <c r="J64" s="20" t="n">
        <f aca="false">J54+SUM(J57:J63)</f>
        <v>1747.30980886481</v>
      </c>
      <c r="K64" s="20" t="n">
        <f aca="false">K54+SUM(K57:K63)</f>
        <v>255.498238846154</v>
      </c>
      <c r="L64" s="20" t="n">
        <f aca="false">L54+SUM(L57:L63)</f>
        <v>-3328.98980573718</v>
      </c>
      <c r="M64" s="20" t="n">
        <f aca="false">M54+SUM(M57:M63)</f>
        <v>239.121378883462</v>
      </c>
      <c r="N64" s="20" t="n">
        <f aca="false">N54+SUM(N57:N63)</f>
        <v>230.932948902115</v>
      </c>
      <c r="O64" s="20" t="n">
        <f aca="false">O54+SUM(O57:O63)</f>
        <v>230.932948902115</v>
      </c>
      <c r="P64" s="20" t="n">
        <f aca="false">SUM(C64:O64)</f>
        <v>-2098.98477875</v>
      </c>
      <c r="Q64" s="3"/>
    </row>
    <row r="65" customFormat="false" ht="15" hidden="false" customHeight="true" outlineLevel="0" collapsed="false">
      <c r="A65" s="3"/>
      <c r="B65" s="3"/>
      <c r="C65" s="3"/>
      <c r="D65" s="3"/>
      <c r="E65" s="3"/>
      <c r="F65" s="3"/>
      <c r="G65" s="3"/>
      <c r="H65" s="3"/>
      <c r="I65" s="3"/>
      <c r="J65" s="3"/>
      <c r="K65" s="3"/>
      <c r="L65" s="3"/>
      <c r="M65" s="3"/>
      <c r="N65" s="3"/>
      <c r="O65" s="3"/>
      <c r="P65" s="3"/>
      <c r="Q65" s="3"/>
    </row>
    <row r="66" customFormat="false" ht="15" hidden="false" customHeight="true" outlineLevel="0" collapsed="false">
      <c r="A66" s="5" t="s">
        <v>319</v>
      </c>
      <c r="B66" s="5"/>
      <c r="C66" s="5"/>
      <c r="D66" s="5"/>
      <c r="E66" s="5"/>
      <c r="F66" s="5"/>
      <c r="G66" s="5"/>
      <c r="H66" s="5"/>
      <c r="I66" s="5"/>
      <c r="J66" s="5"/>
      <c r="K66" s="5"/>
      <c r="L66" s="5"/>
      <c r="M66" s="5"/>
      <c r="N66" s="5"/>
      <c r="O66" s="5"/>
      <c r="P66" s="5"/>
      <c r="Q66" s="5"/>
    </row>
    <row r="67" customFormat="false" ht="15" hidden="false" customHeight="true" outlineLevel="0" collapsed="false">
      <c r="A67" s="6" t="s">
        <v>320</v>
      </c>
      <c r="B67" s="3"/>
      <c r="C67" s="16" t="n">
        <f aca="false">$B$5</f>
        <v>5800</v>
      </c>
      <c r="D67" s="16" t="n">
        <f aca="false">C68</f>
        <v>4971.01019426282</v>
      </c>
      <c r="E67" s="16" t="n">
        <f aca="false">D68</f>
        <v>4164.57504307167</v>
      </c>
      <c r="F67" s="16" t="n">
        <f aca="false">E68</f>
        <v>4452.82700184321</v>
      </c>
      <c r="G67" s="16" t="n">
        <f aca="false">F68</f>
        <v>4732.8905306334</v>
      </c>
      <c r="H67" s="16" t="n">
        <f aca="false">G68</f>
        <v>3912.08915487757</v>
      </c>
      <c r="I67" s="16" t="n">
        <f aca="false">H68</f>
        <v>4167.58739372372</v>
      </c>
      <c r="J67" s="16" t="n">
        <f aca="false">I68</f>
        <v>4326.20970258853</v>
      </c>
      <c r="K67" s="16" t="n">
        <f aca="false">J68</f>
        <v>6073.51951145333</v>
      </c>
      <c r="L67" s="16" t="n">
        <f aca="false">K68</f>
        <v>6329.01775029949</v>
      </c>
      <c r="M67" s="16" t="n">
        <f aca="false">L68</f>
        <v>3000.02794456231</v>
      </c>
      <c r="N67" s="16" t="n">
        <f aca="false">M68</f>
        <v>3239.14932344577</v>
      </c>
      <c r="O67" s="16" t="n">
        <f aca="false">N68</f>
        <v>3470.08227234789</v>
      </c>
      <c r="P67" s="3"/>
      <c r="Q67" s="3"/>
    </row>
    <row r="68" customFormat="false" ht="15" hidden="false" customHeight="true" outlineLevel="0" collapsed="false">
      <c r="A68" s="6" t="s">
        <v>321</v>
      </c>
      <c r="B68" s="3"/>
      <c r="C68" s="20" t="n">
        <f aca="false">C67+C64</f>
        <v>4971.01019426282</v>
      </c>
      <c r="D68" s="20" t="n">
        <f aca="false">D67+D64</f>
        <v>4164.57504307167</v>
      </c>
      <c r="E68" s="20" t="n">
        <f aca="false">E67+E64</f>
        <v>4452.82700184321</v>
      </c>
      <c r="F68" s="20" t="n">
        <f aca="false">F67+F64</f>
        <v>4732.8905306334</v>
      </c>
      <c r="G68" s="20" t="n">
        <f aca="false">G67+G64</f>
        <v>3912.08915487757</v>
      </c>
      <c r="H68" s="20" t="n">
        <f aca="false">H67+H64</f>
        <v>4167.58739372372</v>
      </c>
      <c r="I68" s="20" t="n">
        <f aca="false">I67+I64</f>
        <v>4326.20970258853</v>
      </c>
      <c r="J68" s="20" t="n">
        <f aca="false">J67+J64</f>
        <v>6073.51951145333</v>
      </c>
      <c r="K68" s="20" t="n">
        <f aca="false">K67+K64</f>
        <v>6329.01775029949</v>
      </c>
      <c r="L68" s="20" t="n">
        <f aca="false">L67+L64</f>
        <v>3000.02794456231</v>
      </c>
      <c r="M68" s="20" t="n">
        <f aca="false">M67+M64</f>
        <v>3239.14932344577</v>
      </c>
      <c r="N68" s="20" t="n">
        <f aca="false">N67+N64</f>
        <v>3470.08227234789</v>
      </c>
      <c r="O68" s="20" t="n">
        <f aca="false">O67+O64</f>
        <v>3701.01522125</v>
      </c>
      <c r="P68" s="3"/>
      <c r="Q68" s="3"/>
    </row>
    <row r="69" customFormat="false" ht="15" hidden="false" customHeight="true" outlineLevel="0" collapsed="false">
      <c r="A69" s="8" t="s">
        <v>322</v>
      </c>
      <c r="B69" s="3"/>
      <c r="C69" s="16" t="n">
        <f aca="false">$B$30</f>
        <v>4000</v>
      </c>
      <c r="D69" s="16" t="n">
        <f aca="false">$B$30</f>
        <v>4000</v>
      </c>
      <c r="E69" s="16" t="n">
        <f aca="false">$B$30</f>
        <v>4000</v>
      </c>
      <c r="F69" s="16" t="n">
        <f aca="false">$B$30</f>
        <v>4000</v>
      </c>
      <c r="G69" s="16" t="n">
        <f aca="false">$B$30</f>
        <v>4000</v>
      </c>
      <c r="H69" s="16" t="n">
        <f aca="false">$B$30</f>
        <v>4000</v>
      </c>
      <c r="I69" s="16" t="n">
        <f aca="false">$B$30</f>
        <v>4000</v>
      </c>
      <c r="J69" s="16" t="n">
        <f aca="false">$B$30</f>
        <v>4000</v>
      </c>
      <c r="K69" s="16" t="n">
        <f aca="false">$B$30</f>
        <v>4000</v>
      </c>
      <c r="L69" s="16" t="n">
        <f aca="false">$B$30</f>
        <v>4000</v>
      </c>
      <c r="M69" s="16" t="n">
        <f aca="false">$B$30</f>
        <v>4000</v>
      </c>
      <c r="N69" s="16" t="n">
        <f aca="false">$B$30</f>
        <v>4000</v>
      </c>
      <c r="O69" s="16" t="n">
        <f aca="false">$B$30</f>
        <v>4000</v>
      </c>
      <c r="P69" s="20"/>
      <c r="Q69" s="3"/>
    </row>
    <row r="70" customFormat="false" ht="15" hidden="false" customHeight="true" outlineLevel="0" collapsed="false">
      <c r="A70" s="6" t="s">
        <v>323</v>
      </c>
      <c r="B70" s="3"/>
      <c r="C70" s="20" t="n">
        <f aca="false">C68-C69</f>
        <v>971.010194262821</v>
      </c>
      <c r="D70" s="20" t="n">
        <f aca="false">D68-D69</f>
        <v>164.575043071667</v>
      </c>
      <c r="E70" s="20" t="n">
        <f aca="false">E68-E69</f>
        <v>452.827001843206</v>
      </c>
      <c r="F70" s="20" t="n">
        <f aca="false">F68-F69</f>
        <v>732.890530633398</v>
      </c>
      <c r="G70" s="20" t="n">
        <f aca="false">G68-G69</f>
        <v>-87.9108451224347</v>
      </c>
      <c r="H70" s="20" t="n">
        <f aca="false">H68-H69</f>
        <v>167.587393723719</v>
      </c>
      <c r="I70" s="20" t="n">
        <f aca="false">I68-I69</f>
        <v>326.209702588527</v>
      </c>
      <c r="J70" s="20" t="n">
        <f aca="false">J68-J69</f>
        <v>2073.51951145333</v>
      </c>
      <c r="K70" s="20" t="n">
        <f aca="false">K68-K69</f>
        <v>2329.01775029949</v>
      </c>
      <c r="L70" s="20" t="n">
        <f aca="false">L68-L69</f>
        <v>-999.97205543769</v>
      </c>
      <c r="M70" s="20" t="n">
        <f aca="false">M68-M69</f>
        <v>-760.850676554229</v>
      </c>
      <c r="N70" s="20" t="n">
        <f aca="false">N68-N69</f>
        <v>-529.917727652113</v>
      </c>
      <c r="O70" s="20" t="n">
        <f aca="false">O68-O69</f>
        <v>-298.984778749998</v>
      </c>
      <c r="P70" s="3"/>
      <c r="Q70" s="3"/>
    </row>
    <row r="71" customFormat="false" ht="15" hidden="false" customHeight="true" outlineLevel="0" collapsed="false">
      <c r="A71" s="6" t="s">
        <v>324</v>
      </c>
      <c r="B71" s="3"/>
      <c r="C71" s="46" t="str">
        <f aca="false">IF(C68&lt;0,"DEFAULT",IF(C68&lt;C69,"BREACH","OK"))</f>
        <v>OK</v>
      </c>
      <c r="D71" s="46" t="str">
        <f aca="false">IF(D68&lt;0,"DEFAULT",IF(D68&lt;D69,"BREACH","OK"))</f>
        <v>OK</v>
      </c>
      <c r="E71" s="46" t="str">
        <f aca="false">IF(E68&lt;0,"DEFAULT",IF(E68&lt;E69,"BREACH","OK"))</f>
        <v>OK</v>
      </c>
      <c r="F71" s="46" t="str">
        <f aca="false">IF(F68&lt;0,"DEFAULT",IF(F68&lt;F69,"BREACH","OK"))</f>
        <v>OK</v>
      </c>
      <c r="G71" s="46" t="str">
        <f aca="false">IF(G68&lt;0,"DEFAULT",IF(G68&lt;G69,"BREACH","OK"))</f>
        <v>BREACH</v>
      </c>
      <c r="H71" s="46" t="str">
        <f aca="false">IF(H68&lt;0,"DEFAULT",IF(H68&lt;H69,"BREACH","OK"))</f>
        <v>OK</v>
      </c>
      <c r="I71" s="46" t="str">
        <f aca="false">IF(I68&lt;0,"DEFAULT",IF(I68&lt;I69,"BREACH","OK"))</f>
        <v>OK</v>
      </c>
      <c r="J71" s="46" t="str">
        <f aca="false">IF(J68&lt;0,"DEFAULT",IF(J68&lt;J69,"BREACH","OK"))</f>
        <v>OK</v>
      </c>
      <c r="K71" s="46" t="str">
        <f aca="false">IF(K68&lt;0,"DEFAULT",IF(K68&lt;K69,"BREACH","OK"))</f>
        <v>OK</v>
      </c>
      <c r="L71" s="46" t="str">
        <f aca="false">IF(L68&lt;0,"DEFAULT",IF(L68&lt;L69,"BREACH","OK"))</f>
        <v>BREACH</v>
      </c>
      <c r="M71" s="46" t="str">
        <f aca="false">IF(M68&lt;0,"DEFAULT",IF(M68&lt;M69,"BREACH","OK"))</f>
        <v>BREACH</v>
      </c>
      <c r="N71" s="46" t="str">
        <f aca="false">IF(N68&lt;0,"DEFAULT",IF(N68&lt;N69,"BREACH","OK"))</f>
        <v>BREACH</v>
      </c>
      <c r="O71" s="46" t="str">
        <f aca="false">IF(O68&lt;0,"DEFAULT",IF(O68&lt;O69,"BREACH","OK"))</f>
        <v>BREACH</v>
      </c>
      <c r="P71" s="3"/>
      <c r="Q71" s="3"/>
    </row>
    <row r="72" customFormat="false" ht="15" hidden="false" customHeight="true" outlineLevel="0" collapsed="false">
      <c r="A72" s="8" t="s">
        <v>325</v>
      </c>
      <c r="B72" s="3"/>
      <c r="C72" s="45" t="n">
        <f aca="false">IF(C71="OK",0,1)</f>
        <v>0</v>
      </c>
      <c r="D72" s="45" t="n">
        <f aca="false">IF(D71="OK",0,1)</f>
        <v>0</v>
      </c>
      <c r="E72" s="45" t="n">
        <f aca="false">IF(E71="OK",0,1)</f>
        <v>0</v>
      </c>
      <c r="F72" s="45" t="n">
        <f aca="false">IF(F71="OK",0,1)</f>
        <v>0</v>
      </c>
      <c r="G72" s="45" t="n">
        <f aca="false">IF(G71="OK",0,1)</f>
        <v>1</v>
      </c>
      <c r="H72" s="45" t="n">
        <f aca="false">IF(H71="OK",0,1)</f>
        <v>0</v>
      </c>
      <c r="I72" s="45" t="n">
        <f aca="false">IF(I71="OK",0,1)</f>
        <v>0</v>
      </c>
      <c r="J72" s="45" t="n">
        <f aca="false">IF(J71="OK",0,1)</f>
        <v>0</v>
      </c>
      <c r="K72" s="45" t="n">
        <f aca="false">IF(K71="OK",0,1)</f>
        <v>0</v>
      </c>
      <c r="L72" s="45" t="n">
        <f aca="false">IF(L71="OK",0,1)</f>
        <v>1</v>
      </c>
      <c r="M72" s="45" t="n">
        <f aca="false">IF(M71="OK",0,1)</f>
        <v>1</v>
      </c>
      <c r="N72" s="45" t="n">
        <f aca="false">IF(N71="OK",0,1)</f>
        <v>1</v>
      </c>
      <c r="O72" s="45" t="n">
        <f aca="false">IF(O71="OK",0,1)</f>
        <v>1</v>
      </c>
      <c r="P72" s="3"/>
      <c r="Q72" s="3"/>
    </row>
    <row r="73" customFormat="false" ht="15" hidden="false" customHeight="true" outlineLevel="0" collapsed="false">
      <c r="A73" s="3"/>
      <c r="B73" s="3"/>
      <c r="C73" s="3"/>
      <c r="D73" s="3"/>
      <c r="E73" s="3"/>
      <c r="F73" s="3"/>
      <c r="G73" s="3"/>
      <c r="H73" s="3"/>
      <c r="I73" s="3"/>
      <c r="J73" s="3"/>
      <c r="K73" s="3"/>
      <c r="L73" s="3"/>
      <c r="M73" s="3"/>
      <c r="N73" s="3"/>
      <c r="O73" s="3"/>
      <c r="P73" s="3"/>
      <c r="Q73" s="3"/>
    </row>
    <row r="74" customFormat="false" ht="15" hidden="false" customHeight="true" outlineLevel="0" collapsed="false">
      <c r="A74" s="5" t="s">
        <v>326</v>
      </c>
      <c r="B74" s="5"/>
      <c r="C74" s="5"/>
      <c r="D74" s="5"/>
      <c r="E74" s="3"/>
      <c r="F74" s="3"/>
      <c r="G74" s="3"/>
      <c r="H74" s="3"/>
      <c r="I74" s="3"/>
      <c r="J74" s="3"/>
      <c r="K74" s="3"/>
      <c r="L74" s="3"/>
      <c r="M74" s="3"/>
      <c r="N74" s="3"/>
      <c r="O74" s="3"/>
      <c r="P74" s="3"/>
      <c r="Q74" s="3"/>
    </row>
    <row r="75" customFormat="false" ht="15" hidden="false" customHeight="true" outlineLevel="0" collapsed="false">
      <c r="A75" s="6" t="s">
        <v>327</v>
      </c>
      <c r="B75" s="20" t="n">
        <f aca="false">MIN(C68:O68)</f>
        <v>3000.02794456231</v>
      </c>
      <c r="C75" s="3"/>
      <c r="D75" s="3"/>
      <c r="E75" s="3"/>
      <c r="F75" s="3"/>
      <c r="G75" s="3"/>
      <c r="H75" s="3"/>
      <c r="I75" s="3"/>
      <c r="J75" s="3"/>
      <c r="K75" s="3"/>
      <c r="L75" s="3"/>
      <c r="M75" s="3"/>
      <c r="N75" s="3"/>
      <c r="O75" s="3"/>
      <c r="P75" s="3"/>
      <c r="Q75" s="3"/>
    </row>
    <row r="76" customFormat="false" ht="15" hidden="false" customHeight="true" outlineLevel="0" collapsed="false">
      <c r="A76" s="6" t="s">
        <v>328</v>
      </c>
      <c r="B76" s="23" t="n">
        <f aca="false">INDEX(C34:O34,MATCH(B75,C68:O68,0))</f>
        <v>10</v>
      </c>
      <c r="C76" s="3"/>
      <c r="D76" s="3"/>
      <c r="E76" s="3"/>
      <c r="F76" s="3"/>
      <c r="G76" s="3"/>
      <c r="H76" s="3"/>
      <c r="I76" s="3"/>
      <c r="J76" s="3"/>
      <c r="K76" s="3"/>
      <c r="L76" s="3"/>
      <c r="M76" s="3"/>
      <c r="N76" s="3"/>
      <c r="O76" s="3"/>
      <c r="P76" s="3"/>
      <c r="Q76" s="3"/>
    </row>
    <row r="77" customFormat="false" ht="15" hidden="false" customHeight="true" outlineLevel="0" collapsed="false">
      <c r="A77" s="6" t="s">
        <v>329</v>
      </c>
      <c r="B77" s="23" t="n">
        <f aca="false">COUNTIF(C71:O71,"&lt;&gt;OK")</f>
        <v>5</v>
      </c>
      <c r="C77" s="3"/>
      <c r="D77" s="3"/>
      <c r="E77" s="3"/>
      <c r="F77" s="3"/>
      <c r="G77" s="3"/>
      <c r="H77" s="3"/>
      <c r="I77" s="3"/>
      <c r="J77" s="3"/>
      <c r="K77" s="3"/>
      <c r="L77" s="3"/>
      <c r="M77" s="3"/>
      <c r="N77" s="3"/>
      <c r="O77" s="3"/>
      <c r="P77" s="3"/>
      <c r="Q77" s="3"/>
    </row>
    <row r="78" customFormat="false" ht="15" hidden="false" customHeight="true" outlineLevel="0" collapsed="false">
      <c r="A78" s="6" t="s">
        <v>175</v>
      </c>
      <c r="B78" s="23" t="n">
        <f aca="false">IFERROR(MATCH(1,C72:O72,0),0)</f>
        <v>5</v>
      </c>
      <c r="C78" s="3"/>
      <c r="D78" s="3"/>
      <c r="E78" s="3"/>
      <c r="F78" s="3"/>
      <c r="G78" s="3"/>
      <c r="H78" s="3"/>
      <c r="I78" s="3"/>
      <c r="J78" s="3"/>
      <c r="K78" s="3"/>
      <c r="L78" s="3"/>
      <c r="M78" s="3"/>
      <c r="N78" s="3"/>
      <c r="O78" s="3"/>
      <c r="P78" s="3"/>
      <c r="Q78" s="3"/>
    </row>
    <row r="79" customFormat="false" ht="15" hidden="false" customHeight="true" outlineLevel="0" collapsed="false">
      <c r="A79" s="6" t="s">
        <v>330</v>
      </c>
      <c r="B79" s="23" t="n">
        <f aca="false">IF(MIN(C68:O68)&lt;0,1,0)</f>
        <v>0</v>
      </c>
      <c r="C79" s="3"/>
      <c r="D79" s="3"/>
      <c r="E79" s="3"/>
      <c r="F79" s="3"/>
      <c r="G79" s="3"/>
      <c r="H79" s="3"/>
      <c r="I79" s="3"/>
      <c r="J79" s="3"/>
      <c r="K79" s="3"/>
      <c r="L79" s="3"/>
      <c r="M79" s="3"/>
      <c r="N79" s="3"/>
      <c r="O79" s="3"/>
      <c r="P79" s="3"/>
      <c r="Q79" s="3"/>
    </row>
    <row r="80" customFormat="false" ht="15" hidden="false" customHeight="true" outlineLevel="0" collapsed="false">
      <c r="A80" s="6" t="s">
        <v>331</v>
      </c>
      <c r="B80" s="9" t="str">
        <f aca="false">IF($B$79=1,"PAYMENT DEFAULT — immediate standstill required",IF($B$77&gt;0,"BREACH of ₹40 bn floor — liquidity action required","WITHIN THRESHOLD"))</f>
        <v>BREACH of ₹40 bn floor — liquidity action required</v>
      </c>
      <c r="C80" s="3"/>
      <c r="D80" s="3"/>
      <c r="E80" s="3"/>
      <c r="F80" s="3"/>
      <c r="G80" s="3"/>
      <c r="H80" s="3"/>
      <c r="I80" s="3"/>
      <c r="J80" s="3"/>
      <c r="K80" s="3"/>
      <c r="L80" s="3"/>
      <c r="M80" s="3"/>
      <c r="N80" s="3"/>
      <c r="O80" s="3"/>
      <c r="P80" s="3"/>
      <c r="Q80" s="3"/>
    </row>
    <row r="81" customFormat="false" ht="15" hidden="false" customHeight="true" outlineLevel="0" collapsed="false">
      <c r="A81" s="6" t="s">
        <v>332</v>
      </c>
      <c r="B81" s="20" t="n">
        <f aca="false">P54</f>
        <v>2447.20272125</v>
      </c>
      <c r="C81" s="3"/>
      <c r="D81" s="3"/>
      <c r="E81" s="3"/>
      <c r="F81" s="3"/>
      <c r="G81" s="3"/>
      <c r="H81" s="3"/>
      <c r="I81" s="3"/>
      <c r="J81" s="3"/>
      <c r="K81" s="3"/>
      <c r="L81" s="3"/>
      <c r="M81" s="3"/>
      <c r="N81" s="3"/>
      <c r="O81" s="3"/>
      <c r="P81" s="3"/>
      <c r="Q81" s="3"/>
    </row>
    <row r="82" customFormat="false" ht="15" hidden="false" customHeight="true" outlineLevel="0" collapsed="false">
      <c r="A82" s="6" t="s">
        <v>333</v>
      </c>
      <c r="B82" s="20" t="n">
        <f aca="false">P64</f>
        <v>-2098.98477875</v>
      </c>
      <c r="C82" s="3"/>
      <c r="D82" s="3"/>
      <c r="E82" s="3"/>
      <c r="F82" s="3"/>
      <c r="G82" s="3"/>
      <c r="H82" s="3"/>
      <c r="I82" s="3"/>
      <c r="J82" s="3"/>
      <c r="K82" s="3"/>
      <c r="L82" s="3"/>
      <c r="M82" s="3"/>
      <c r="N82" s="3"/>
      <c r="O82" s="3"/>
      <c r="P82" s="3"/>
      <c r="Q82" s="3"/>
    </row>
    <row r="85" customFormat="false" ht="15" hidden="false" customHeight="true" outlineLevel="0" collapsed="false">
      <c r="A85" s="5" t="s">
        <v>334</v>
      </c>
      <c r="B85" s="5"/>
      <c r="C85" s="5"/>
      <c r="D85" s="5"/>
      <c r="E85" s="5"/>
      <c r="F85" s="5"/>
      <c r="G85" s="5"/>
      <c r="H85" s="5"/>
      <c r="I85" s="5"/>
      <c r="J85" s="5"/>
      <c r="K85" s="5"/>
      <c r="L85" s="5"/>
      <c r="M85" s="5"/>
      <c r="N85" s="5"/>
      <c r="O85" s="5"/>
      <c r="P85" s="5"/>
    </row>
    <row r="86" customFormat="false" ht="15" hidden="false" customHeight="true" outlineLevel="0" collapsed="false">
      <c r="A86" s="8" t="s">
        <v>335</v>
      </c>
      <c r="C86" s="16" t="n">
        <f aca="false">C68-SUM($C58:C58)</f>
        <v>4971.01019426282</v>
      </c>
      <c r="D86" s="16" t="n">
        <f aca="false">D68-SUM($C58:D58)</f>
        <v>4164.57504307167</v>
      </c>
      <c r="E86" s="16" t="n">
        <f aca="false">E68-SUM($C58:E58)</f>
        <v>4452.82700184321</v>
      </c>
      <c r="F86" s="16" t="n">
        <f aca="false">F68-SUM($C58:F58)</f>
        <v>4732.8905306334</v>
      </c>
      <c r="G86" s="16" t="n">
        <f aca="false">G68-SUM($C58:G58)</f>
        <v>3912.08915487757</v>
      </c>
      <c r="H86" s="16" t="n">
        <f aca="false">H68-SUM($C58:H58)</f>
        <v>4167.58739372372</v>
      </c>
      <c r="I86" s="16" t="n">
        <f aca="false">I68-SUM($C58:I58)</f>
        <v>4326.20970258853</v>
      </c>
      <c r="J86" s="16" t="n">
        <f aca="false">J68-SUM($C58:J58)</f>
        <v>6073.51951145333</v>
      </c>
      <c r="K86" s="16" t="n">
        <f aca="false">K68-SUM($C58:K58)</f>
        <v>6329.01775029949</v>
      </c>
      <c r="L86" s="16" t="n">
        <f aca="false">L68-SUM($C58:L58)</f>
        <v>5500.02794456231</v>
      </c>
      <c r="M86" s="16" t="n">
        <f aca="false">M68-SUM($C58:M58)</f>
        <v>5739.14932344577</v>
      </c>
      <c r="N86" s="16" t="n">
        <f aca="false">N68-SUM($C58:N58)</f>
        <v>5970.08227234789</v>
      </c>
      <c r="O86" s="16" t="n">
        <f aca="false">O68-SUM($C58:O58)</f>
        <v>6201.01522125</v>
      </c>
    </row>
    <row r="87" customFormat="false" ht="15" hidden="false" customHeight="true" outlineLevel="0" collapsed="false">
      <c r="A87" s="8" t="s">
        <v>336</v>
      </c>
      <c r="C87" s="16" t="n">
        <f aca="false">C86</f>
        <v>4971.01019426282</v>
      </c>
      <c r="D87" s="16" t="n">
        <f aca="false">MIN(C87,D86)</f>
        <v>4164.57504307167</v>
      </c>
      <c r="E87" s="16" t="n">
        <f aca="false">MIN(D87,E86)</f>
        <v>4164.57504307167</v>
      </c>
      <c r="F87" s="16" t="n">
        <f aca="false">MIN(E87,F86)</f>
        <v>4164.57504307167</v>
      </c>
      <c r="G87" s="16" t="n">
        <f aca="false">MIN(F87,G86)</f>
        <v>3912.08915487757</v>
      </c>
      <c r="H87" s="16" t="n">
        <f aca="false">MIN(G87,H86)</f>
        <v>3912.08915487757</v>
      </c>
      <c r="I87" s="16" t="n">
        <f aca="false">MIN(H87,I86)</f>
        <v>3912.08915487757</v>
      </c>
      <c r="J87" s="16" t="n">
        <f aca="false">MIN(I87,J86)</f>
        <v>3912.08915487757</v>
      </c>
      <c r="K87" s="16" t="n">
        <f aca="false">MIN(J87,K86)</f>
        <v>3912.08915487757</v>
      </c>
      <c r="L87" s="16" t="n">
        <f aca="false">MIN(K87,L86)</f>
        <v>3912.08915487757</v>
      </c>
      <c r="M87" s="16" t="n">
        <f aca="false">MIN(L87,M86)</f>
        <v>3912.08915487757</v>
      </c>
      <c r="N87" s="16" t="n">
        <f aca="false">MIN(M87,N86)</f>
        <v>3912.08915487757</v>
      </c>
      <c r="O87" s="16" t="n">
        <f aca="false">MIN(N87,O86)</f>
        <v>3912.08915487757</v>
      </c>
    </row>
    <row r="88" customFormat="false" ht="15" hidden="false" customHeight="true" outlineLevel="0" collapsed="false">
      <c r="A88" s="8" t="s">
        <v>337</v>
      </c>
      <c r="C88" s="16" t="n">
        <f aca="false">MIN(D88,C86)</f>
        <v>3912.08915487757</v>
      </c>
      <c r="D88" s="16" t="n">
        <f aca="false">MIN(E88,D86)</f>
        <v>3912.08915487757</v>
      </c>
      <c r="E88" s="16" t="n">
        <f aca="false">MIN(F88,E86)</f>
        <v>3912.08915487757</v>
      </c>
      <c r="F88" s="16" t="n">
        <f aca="false">MIN(G88,F86)</f>
        <v>3912.08915487757</v>
      </c>
      <c r="G88" s="16" t="n">
        <f aca="false">MIN(H88,G86)</f>
        <v>3912.08915487757</v>
      </c>
      <c r="H88" s="16" t="n">
        <f aca="false">MIN(I88,H86)</f>
        <v>4167.58739372372</v>
      </c>
      <c r="I88" s="16" t="n">
        <f aca="false">MIN(J88,I86)</f>
        <v>4326.20970258853</v>
      </c>
      <c r="J88" s="16" t="n">
        <f aca="false">MIN(K88,J86)</f>
        <v>5500.02794456231</v>
      </c>
      <c r="K88" s="16" t="n">
        <f aca="false">MIN(L88,K86)</f>
        <v>5500.02794456231</v>
      </c>
      <c r="L88" s="16" t="n">
        <f aca="false">MIN(M88,L86)</f>
        <v>5500.02794456231</v>
      </c>
      <c r="M88" s="16" t="n">
        <f aca="false">MIN(N88,M86)</f>
        <v>5739.14932344577</v>
      </c>
      <c r="N88" s="16" t="n">
        <f aca="false">MIN(O88,N86)</f>
        <v>5970.08227234789</v>
      </c>
      <c r="O88" s="16" t="n">
        <f aca="false">O86</f>
        <v>6201.01522125</v>
      </c>
    </row>
    <row r="90" customFormat="false" ht="15" hidden="false" customHeight="true" outlineLevel="0" collapsed="false">
      <c r="A90" s="6" t="s">
        <v>338</v>
      </c>
    </row>
    <row r="91" customFormat="false" ht="15" hidden="false" customHeight="true" outlineLevel="0" collapsed="false">
      <c r="A91" s="47" t="s">
        <v>339</v>
      </c>
      <c r="B91" s="47"/>
      <c r="C91" s="48" t="n">
        <f aca="false">C34</f>
        <v>1</v>
      </c>
      <c r="D91" s="48" t="n">
        <f aca="false">D34</f>
        <v>2</v>
      </c>
      <c r="E91" s="48" t="n">
        <f aca="false">E34</f>
        <v>3</v>
      </c>
      <c r="F91" s="48" t="n">
        <f aca="false">F34</f>
        <v>4</v>
      </c>
      <c r="G91" s="48" t="n">
        <f aca="false">G34</f>
        <v>5</v>
      </c>
      <c r="H91" s="48" t="n">
        <f aca="false">H34</f>
        <v>6</v>
      </c>
      <c r="I91" s="48" t="n">
        <f aca="false">I34</f>
        <v>7</v>
      </c>
      <c r="J91" s="48" t="n">
        <f aca="false">J34</f>
        <v>8</v>
      </c>
      <c r="K91" s="48" t="n">
        <f aca="false">K34</f>
        <v>9</v>
      </c>
      <c r="L91" s="48" t="n">
        <f aca="false">L34</f>
        <v>10</v>
      </c>
      <c r="M91" s="48" t="n">
        <f aca="false">M34</f>
        <v>11</v>
      </c>
      <c r="N91" s="48" t="n">
        <f aca="false">N34</f>
        <v>12</v>
      </c>
      <c r="O91" s="48" t="n">
        <f aca="false">O34</f>
        <v>13</v>
      </c>
    </row>
    <row r="92" customFormat="false" ht="15" hidden="false" customHeight="true" outlineLevel="0" collapsed="false">
      <c r="B92" s="14" t="n">
        <v>0</v>
      </c>
      <c r="C92" s="16" t="n">
        <f aca="false">MIN(IF(C$91=1,1E+099,INDEX($C$87:$O$87,MAX(1,C$91-1))),INDEX($C$88:$O$88,C$91)-$B92)</f>
        <v>3912.08915487757</v>
      </c>
      <c r="D92" s="16" t="n">
        <f aca="false">MIN(IF(D$91=1,1E+099,INDEX($C$87:$O$87,MAX(1,D$91-1))),INDEX($C$88:$O$88,D$91)-$B92)</f>
        <v>3912.08915487757</v>
      </c>
      <c r="E92" s="16" t="n">
        <f aca="false">MIN(IF(E$91=1,1E+099,INDEX($C$87:$O$87,MAX(1,E$91-1))),INDEX($C$88:$O$88,E$91)-$B92)</f>
        <v>3912.08915487757</v>
      </c>
      <c r="F92" s="16" t="n">
        <f aca="false">MIN(IF(F$91=1,1E+099,INDEX($C$87:$O$87,MAX(1,F$91-1))),INDEX($C$88:$O$88,F$91)-$B92)</f>
        <v>3912.08915487757</v>
      </c>
      <c r="G92" s="16" t="n">
        <f aca="false">MIN(IF(G$91=1,1E+099,INDEX($C$87:$O$87,MAX(1,G$91-1))),INDEX($C$88:$O$88,G$91)-$B92)</f>
        <v>3912.08915487757</v>
      </c>
      <c r="H92" s="16" t="n">
        <f aca="false">MIN(IF(H$91=1,1E+099,INDEX($C$87:$O$87,MAX(1,H$91-1))),INDEX($C$88:$O$88,H$91)-$B92)</f>
        <v>3912.08915487757</v>
      </c>
      <c r="I92" s="16" t="n">
        <f aca="false">MIN(IF(I$91=1,1E+099,INDEX($C$87:$O$87,MAX(1,I$91-1))),INDEX($C$88:$O$88,I$91)-$B92)</f>
        <v>3912.08915487757</v>
      </c>
      <c r="J92" s="16" t="n">
        <f aca="false">MIN(IF(J$91=1,1E+099,INDEX($C$87:$O$87,MAX(1,J$91-1))),INDEX($C$88:$O$88,J$91)-$B92)</f>
        <v>3912.08915487757</v>
      </c>
      <c r="K92" s="16" t="n">
        <f aca="false">MIN(IF(K$91=1,1E+099,INDEX($C$87:$O$87,MAX(1,K$91-1))),INDEX($C$88:$O$88,K$91)-$B92)</f>
        <v>3912.08915487757</v>
      </c>
      <c r="L92" s="16" t="n">
        <f aca="false">MIN(IF(L$91=1,1E+099,INDEX($C$87:$O$87,MAX(1,L$91-1))),INDEX($C$88:$O$88,L$91)-$B92)</f>
        <v>3912.08915487757</v>
      </c>
      <c r="M92" s="16" t="n">
        <f aca="false">MIN(IF(M$91=1,1E+099,INDEX($C$87:$O$87,MAX(1,M$91-1))),INDEX($C$88:$O$88,M$91)-$B92)</f>
        <v>3912.08915487757</v>
      </c>
      <c r="N92" s="16" t="n">
        <f aca="false">MIN(IF(N$91=1,1E+099,INDEX($C$87:$O$87,MAX(1,N$91-1))),INDEX($C$88:$O$88,N$91)-$B92)</f>
        <v>3912.08915487757</v>
      </c>
      <c r="O92" s="16" t="n">
        <f aca="false">MIN(IF(O$91=1,1E+099,INDEX($C$87:$O$87,MAX(1,O$91-1))),INDEX($C$88:$O$88,O$91)-$B92)</f>
        <v>3912.08915487757</v>
      </c>
    </row>
    <row r="93" customFormat="false" ht="15" hidden="false" customHeight="true" outlineLevel="0" collapsed="false">
      <c r="B93" s="14" t="n">
        <v>1000</v>
      </c>
      <c r="C93" s="16" t="n">
        <f aca="false">MIN(IF(C$91=1,1E+099,INDEX($C$87:$O$87,MAX(1,C$91-1))),INDEX($C$88:$O$88,C$91)-$B93)</f>
        <v>2912.08915487757</v>
      </c>
      <c r="D93" s="16" t="n">
        <f aca="false">MIN(IF(D$91=1,1E+099,INDEX($C$87:$O$87,MAX(1,D$91-1))),INDEX($C$88:$O$88,D$91)-$B93)</f>
        <v>2912.08915487757</v>
      </c>
      <c r="E93" s="16" t="n">
        <f aca="false">MIN(IF(E$91=1,1E+099,INDEX($C$87:$O$87,MAX(1,E$91-1))),INDEX($C$88:$O$88,E$91)-$B93)</f>
        <v>2912.08915487757</v>
      </c>
      <c r="F93" s="16" t="n">
        <f aca="false">MIN(IF(F$91=1,1E+099,INDEX($C$87:$O$87,MAX(1,F$91-1))),INDEX($C$88:$O$88,F$91)-$B93)</f>
        <v>2912.08915487757</v>
      </c>
      <c r="G93" s="16" t="n">
        <f aca="false">MIN(IF(G$91=1,1E+099,INDEX($C$87:$O$87,MAX(1,G$91-1))),INDEX($C$88:$O$88,G$91)-$B93)</f>
        <v>2912.08915487757</v>
      </c>
      <c r="H93" s="16" t="n">
        <f aca="false">MIN(IF(H$91=1,1E+099,INDEX($C$87:$O$87,MAX(1,H$91-1))),INDEX($C$88:$O$88,H$91)-$B93)</f>
        <v>3167.58739372372</v>
      </c>
      <c r="I93" s="16" t="n">
        <f aca="false">MIN(IF(I$91=1,1E+099,INDEX($C$87:$O$87,MAX(1,I$91-1))),INDEX($C$88:$O$88,I$91)-$B93)</f>
        <v>3326.20970258853</v>
      </c>
      <c r="J93" s="16" t="n">
        <f aca="false">MIN(IF(J$91=1,1E+099,INDEX($C$87:$O$87,MAX(1,J$91-1))),INDEX($C$88:$O$88,J$91)-$B93)</f>
        <v>3912.08915487757</v>
      </c>
      <c r="K93" s="16" t="n">
        <f aca="false">MIN(IF(K$91=1,1E+099,INDEX($C$87:$O$87,MAX(1,K$91-1))),INDEX($C$88:$O$88,K$91)-$B93)</f>
        <v>3912.08915487757</v>
      </c>
      <c r="L93" s="16" t="n">
        <f aca="false">MIN(IF(L$91=1,1E+099,INDEX($C$87:$O$87,MAX(1,L$91-1))),INDEX($C$88:$O$88,L$91)-$B93)</f>
        <v>3912.08915487757</v>
      </c>
      <c r="M93" s="16" t="n">
        <f aca="false">MIN(IF(M$91=1,1E+099,INDEX($C$87:$O$87,MAX(1,M$91-1))),INDEX($C$88:$O$88,M$91)-$B93)</f>
        <v>3912.08915487757</v>
      </c>
      <c r="N93" s="16" t="n">
        <f aca="false">MIN(IF(N$91=1,1E+099,INDEX($C$87:$O$87,MAX(1,N$91-1))),INDEX($C$88:$O$88,N$91)-$B93)</f>
        <v>3912.08915487757</v>
      </c>
      <c r="O93" s="16" t="n">
        <f aca="false">MIN(IF(O$91=1,1E+099,INDEX($C$87:$O$87,MAX(1,O$91-1))),INDEX($C$88:$O$88,O$91)-$B93)</f>
        <v>3912.08915487757</v>
      </c>
    </row>
    <row r="94" customFormat="false" ht="15" hidden="false" customHeight="true" outlineLevel="0" collapsed="false">
      <c r="B94" s="14" t="n">
        <v>1500</v>
      </c>
      <c r="C94" s="16" t="n">
        <f aca="false">MIN(IF(C$91=1,1E+099,INDEX($C$87:$O$87,MAX(1,C$91-1))),INDEX($C$88:$O$88,C$91)-$B94)</f>
        <v>2412.08915487757</v>
      </c>
      <c r="D94" s="16" t="n">
        <f aca="false">MIN(IF(D$91=1,1E+099,INDEX($C$87:$O$87,MAX(1,D$91-1))),INDEX($C$88:$O$88,D$91)-$B94)</f>
        <v>2412.08915487757</v>
      </c>
      <c r="E94" s="16" t="n">
        <f aca="false">MIN(IF(E$91=1,1E+099,INDEX($C$87:$O$87,MAX(1,E$91-1))),INDEX($C$88:$O$88,E$91)-$B94)</f>
        <v>2412.08915487757</v>
      </c>
      <c r="F94" s="16" t="n">
        <f aca="false">MIN(IF(F$91=1,1E+099,INDEX($C$87:$O$87,MAX(1,F$91-1))),INDEX($C$88:$O$88,F$91)-$B94)</f>
        <v>2412.08915487757</v>
      </c>
      <c r="G94" s="16" t="n">
        <f aca="false">MIN(IF(G$91=1,1E+099,INDEX($C$87:$O$87,MAX(1,G$91-1))),INDEX($C$88:$O$88,G$91)-$B94)</f>
        <v>2412.08915487757</v>
      </c>
      <c r="H94" s="16" t="n">
        <f aca="false">MIN(IF(H$91=1,1E+099,INDEX($C$87:$O$87,MAX(1,H$91-1))),INDEX($C$88:$O$88,H$91)-$B94)</f>
        <v>2667.58739372372</v>
      </c>
      <c r="I94" s="16" t="n">
        <f aca="false">MIN(IF(I$91=1,1E+099,INDEX($C$87:$O$87,MAX(1,I$91-1))),INDEX($C$88:$O$88,I$91)-$B94)</f>
        <v>2826.20970258853</v>
      </c>
      <c r="J94" s="16" t="n">
        <f aca="false">MIN(IF(J$91=1,1E+099,INDEX($C$87:$O$87,MAX(1,J$91-1))),INDEX($C$88:$O$88,J$91)-$B94)</f>
        <v>3912.08915487757</v>
      </c>
      <c r="K94" s="16" t="n">
        <f aca="false">MIN(IF(K$91=1,1E+099,INDEX($C$87:$O$87,MAX(1,K$91-1))),INDEX($C$88:$O$88,K$91)-$B94)</f>
        <v>3912.08915487757</v>
      </c>
      <c r="L94" s="16" t="n">
        <f aca="false">MIN(IF(L$91=1,1E+099,INDEX($C$87:$O$87,MAX(1,L$91-1))),INDEX($C$88:$O$88,L$91)-$B94)</f>
        <v>3912.08915487757</v>
      </c>
      <c r="M94" s="16" t="n">
        <f aca="false">MIN(IF(M$91=1,1E+099,INDEX($C$87:$O$87,MAX(1,M$91-1))),INDEX($C$88:$O$88,M$91)-$B94)</f>
        <v>3912.08915487757</v>
      </c>
      <c r="N94" s="16" t="n">
        <f aca="false">MIN(IF(N$91=1,1E+099,INDEX($C$87:$O$87,MAX(1,N$91-1))),INDEX($C$88:$O$88,N$91)-$B94)</f>
        <v>3912.08915487757</v>
      </c>
      <c r="O94" s="16" t="n">
        <f aca="false">MIN(IF(O$91=1,1E+099,INDEX($C$87:$O$87,MAX(1,O$91-1))),INDEX($C$88:$O$88,O$91)-$B94)</f>
        <v>3912.08915487757</v>
      </c>
    </row>
    <row r="95" customFormat="false" ht="15" hidden="false" customHeight="true" outlineLevel="0" collapsed="false">
      <c r="B95" s="14" t="n">
        <v>2000</v>
      </c>
      <c r="C95" s="16" t="n">
        <f aca="false">MIN(IF(C$91=1,1E+099,INDEX($C$87:$O$87,MAX(1,C$91-1))),INDEX($C$88:$O$88,C$91)-$B95)</f>
        <v>1912.08915487757</v>
      </c>
      <c r="D95" s="16" t="n">
        <f aca="false">MIN(IF(D$91=1,1E+099,INDEX($C$87:$O$87,MAX(1,D$91-1))),INDEX($C$88:$O$88,D$91)-$B95)</f>
        <v>1912.08915487757</v>
      </c>
      <c r="E95" s="16" t="n">
        <f aca="false">MIN(IF(E$91=1,1E+099,INDEX($C$87:$O$87,MAX(1,E$91-1))),INDEX($C$88:$O$88,E$91)-$B95)</f>
        <v>1912.08915487757</v>
      </c>
      <c r="F95" s="16" t="n">
        <f aca="false">MIN(IF(F$91=1,1E+099,INDEX($C$87:$O$87,MAX(1,F$91-1))),INDEX($C$88:$O$88,F$91)-$B95)</f>
        <v>1912.08915487757</v>
      </c>
      <c r="G95" s="16" t="n">
        <f aca="false">MIN(IF(G$91=1,1E+099,INDEX($C$87:$O$87,MAX(1,G$91-1))),INDEX($C$88:$O$88,G$91)-$B95)</f>
        <v>1912.08915487757</v>
      </c>
      <c r="H95" s="16" t="n">
        <f aca="false">MIN(IF(H$91=1,1E+099,INDEX($C$87:$O$87,MAX(1,H$91-1))),INDEX($C$88:$O$88,H$91)-$B95)</f>
        <v>2167.58739372372</v>
      </c>
      <c r="I95" s="16" t="n">
        <f aca="false">MIN(IF(I$91=1,1E+099,INDEX($C$87:$O$87,MAX(1,I$91-1))),INDEX($C$88:$O$88,I$91)-$B95)</f>
        <v>2326.20970258853</v>
      </c>
      <c r="J95" s="16" t="n">
        <f aca="false">MIN(IF(J$91=1,1E+099,INDEX($C$87:$O$87,MAX(1,J$91-1))),INDEX($C$88:$O$88,J$91)-$B95)</f>
        <v>3500.02794456231</v>
      </c>
      <c r="K95" s="16" t="n">
        <f aca="false">MIN(IF(K$91=1,1E+099,INDEX($C$87:$O$87,MAX(1,K$91-1))),INDEX($C$88:$O$88,K$91)-$B95)</f>
        <v>3500.02794456231</v>
      </c>
      <c r="L95" s="16" t="n">
        <f aca="false">MIN(IF(L$91=1,1E+099,INDEX($C$87:$O$87,MAX(1,L$91-1))),INDEX($C$88:$O$88,L$91)-$B95)</f>
        <v>3500.02794456231</v>
      </c>
      <c r="M95" s="16" t="n">
        <f aca="false">MIN(IF(M$91=1,1E+099,INDEX($C$87:$O$87,MAX(1,M$91-1))),INDEX($C$88:$O$88,M$91)-$B95)</f>
        <v>3739.14932344577</v>
      </c>
      <c r="N95" s="16" t="n">
        <f aca="false">MIN(IF(N$91=1,1E+099,INDEX($C$87:$O$87,MAX(1,N$91-1))),INDEX($C$88:$O$88,N$91)-$B95)</f>
        <v>3912.08915487757</v>
      </c>
      <c r="O95" s="16" t="n">
        <f aca="false">MIN(IF(O$91=1,1E+099,INDEX($C$87:$O$87,MAX(1,O$91-1))),INDEX($C$88:$O$88,O$91)-$B95)</f>
        <v>3912.08915487757</v>
      </c>
    </row>
    <row r="96" customFormat="false" ht="15" hidden="false" customHeight="true" outlineLevel="0" collapsed="false">
      <c r="B96" s="14" t="n">
        <v>2500</v>
      </c>
      <c r="C96" s="16" t="n">
        <f aca="false">MIN(IF(C$91=1,1E+099,INDEX($C$87:$O$87,MAX(1,C$91-1))),INDEX($C$88:$O$88,C$91)-$B96)</f>
        <v>1412.08915487757</v>
      </c>
      <c r="D96" s="16" t="n">
        <f aca="false">MIN(IF(D$91=1,1E+099,INDEX($C$87:$O$87,MAX(1,D$91-1))),INDEX($C$88:$O$88,D$91)-$B96)</f>
        <v>1412.08915487757</v>
      </c>
      <c r="E96" s="16" t="n">
        <f aca="false">MIN(IF(E$91=1,1E+099,INDEX($C$87:$O$87,MAX(1,E$91-1))),INDEX($C$88:$O$88,E$91)-$B96)</f>
        <v>1412.08915487757</v>
      </c>
      <c r="F96" s="16" t="n">
        <f aca="false">MIN(IF(F$91=1,1E+099,INDEX($C$87:$O$87,MAX(1,F$91-1))),INDEX($C$88:$O$88,F$91)-$B96)</f>
        <v>1412.08915487757</v>
      </c>
      <c r="G96" s="16" t="n">
        <f aca="false">MIN(IF(G$91=1,1E+099,INDEX($C$87:$O$87,MAX(1,G$91-1))),INDEX($C$88:$O$88,G$91)-$B96)</f>
        <v>1412.08915487757</v>
      </c>
      <c r="H96" s="16" t="n">
        <f aca="false">MIN(IF(H$91=1,1E+099,INDEX($C$87:$O$87,MAX(1,H$91-1))),INDEX($C$88:$O$88,H$91)-$B96)</f>
        <v>1667.58739372372</v>
      </c>
      <c r="I96" s="16" t="n">
        <f aca="false">MIN(IF(I$91=1,1E+099,INDEX($C$87:$O$87,MAX(1,I$91-1))),INDEX($C$88:$O$88,I$91)-$B96)</f>
        <v>1826.20970258853</v>
      </c>
      <c r="J96" s="16" t="n">
        <f aca="false">MIN(IF(J$91=1,1E+099,INDEX($C$87:$O$87,MAX(1,J$91-1))),INDEX($C$88:$O$88,J$91)-$B96)</f>
        <v>3000.02794456231</v>
      </c>
      <c r="K96" s="16" t="n">
        <f aca="false">MIN(IF(K$91=1,1E+099,INDEX($C$87:$O$87,MAX(1,K$91-1))),INDEX($C$88:$O$88,K$91)-$B96)</f>
        <v>3000.02794456231</v>
      </c>
      <c r="L96" s="16" t="n">
        <f aca="false">MIN(IF(L$91=1,1E+099,INDEX($C$87:$O$87,MAX(1,L$91-1))),INDEX($C$88:$O$88,L$91)-$B96)</f>
        <v>3000.02794456231</v>
      </c>
      <c r="M96" s="16" t="n">
        <f aca="false">MIN(IF(M$91=1,1E+099,INDEX($C$87:$O$87,MAX(1,M$91-1))),INDEX($C$88:$O$88,M$91)-$B96)</f>
        <v>3239.14932344577</v>
      </c>
      <c r="N96" s="16" t="n">
        <f aca="false">MIN(IF(N$91=1,1E+099,INDEX($C$87:$O$87,MAX(1,N$91-1))),INDEX($C$88:$O$88,N$91)-$B96)</f>
        <v>3470.08227234789</v>
      </c>
      <c r="O96" s="16" t="n">
        <f aca="false">MIN(IF(O$91=1,1E+099,INDEX($C$87:$O$87,MAX(1,O$91-1))),INDEX($C$88:$O$88,O$91)-$B96)</f>
        <v>3701.01522125</v>
      </c>
    </row>
    <row r="97" customFormat="false" ht="15" hidden="false" customHeight="true" outlineLevel="0" collapsed="false">
      <c r="B97" s="14" t="n">
        <v>3000</v>
      </c>
      <c r="C97" s="16" t="n">
        <f aca="false">MIN(IF(C$91=1,1E+099,INDEX($C$87:$O$87,MAX(1,C$91-1))),INDEX($C$88:$O$88,C$91)-$B97)</f>
        <v>912.089154877565</v>
      </c>
      <c r="D97" s="16" t="n">
        <f aca="false">MIN(IF(D$91=1,1E+099,INDEX($C$87:$O$87,MAX(1,D$91-1))),INDEX($C$88:$O$88,D$91)-$B97)</f>
        <v>912.089154877565</v>
      </c>
      <c r="E97" s="16" t="n">
        <f aca="false">MIN(IF(E$91=1,1E+099,INDEX($C$87:$O$87,MAX(1,E$91-1))),INDEX($C$88:$O$88,E$91)-$B97)</f>
        <v>912.089154877565</v>
      </c>
      <c r="F97" s="16" t="n">
        <f aca="false">MIN(IF(F$91=1,1E+099,INDEX($C$87:$O$87,MAX(1,F$91-1))),INDEX($C$88:$O$88,F$91)-$B97)</f>
        <v>912.089154877565</v>
      </c>
      <c r="G97" s="16" t="n">
        <f aca="false">MIN(IF(G$91=1,1E+099,INDEX($C$87:$O$87,MAX(1,G$91-1))),INDEX($C$88:$O$88,G$91)-$B97)</f>
        <v>912.089154877565</v>
      </c>
      <c r="H97" s="16" t="n">
        <f aca="false">MIN(IF(H$91=1,1E+099,INDEX($C$87:$O$87,MAX(1,H$91-1))),INDEX($C$88:$O$88,H$91)-$B97)</f>
        <v>1167.58739372372</v>
      </c>
      <c r="I97" s="16" t="n">
        <f aca="false">MIN(IF(I$91=1,1E+099,INDEX($C$87:$O$87,MAX(1,I$91-1))),INDEX($C$88:$O$88,I$91)-$B97)</f>
        <v>1326.20970258853</v>
      </c>
      <c r="J97" s="16" t="n">
        <f aca="false">MIN(IF(J$91=1,1E+099,INDEX($C$87:$O$87,MAX(1,J$91-1))),INDEX($C$88:$O$88,J$91)-$B97)</f>
        <v>2500.02794456231</v>
      </c>
      <c r="K97" s="16" t="n">
        <f aca="false">MIN(IF(K$91=1,1E+099,INDEX($C$87:$O$87,MAX(1,K$91-1))),INDEX($C$88:$O$88,K$91)-$B97)</f>
        <v>2500.02794456231</v>
      </c>
      <c r="L97" s="16" t="n">
        <f aca="false">MIN(IF(L$91=1,1E+099,INDEX($C$87:$O$87,MAX(1,L$91-1))),INDEX($C$88:$O$88,L$91)-$B97)</f>
        <v>2500.02794456231</v>
      </c>
      <c r="M97" s="16" t="n">
        <f aca="false">MIN(IF(M$91=1,1E+099,INDEX($C$87:$O$87,MAX(1,M$91-1))),INDEX($C$88:$O$88,M$91)-$B97)</f>
        <v>2739.14932344577</v>
      </c>
      <c r="N97" s="16" t="n">
        <f aca="false">MIN(IF(N$91=1,1E+099,INDEX($C$87:$O$87,MAX(1,N$91-1))),INDEX($C$88:$O$88,N$91)-$B97)</f>
        <v>2970.08227234789</v>
      </c>
      <c r="O97" s="16" t="n">
        <f aca="false">MIN(IF(O$91=1,1E+099,INDEX($C$87:$O$87,MAX(1,O$91-1))),INDEX($C$88:$O$88,O$91)-$B97)</f>
        <v>3201.01522125</v>
      </c>
    </row>
    <row r="98" customFormat="false" ht="15" hidden="false" customHeight="true" outlineLevel="0" collapsed="false">
      <c r="B98" s="14" t="n">
        <v>3500</v>
      </c>
      <c r="C98" s="16" t="n">
        <f aca="false">MIN(IF(C$91=1,1E+099,INDEX($C$87:$O$87,MAX(1,C$91-1))),INDEX($C$88:$O$88,C$91)-$B98)</f>
        <v>412.089154877565</v>
      </c>
      <c r="D98" s="16" t="n">
        <f aca="false">MIN(IF(D$91=1,1E+099,INDEX($C$87:$O$87,MAX(1,D$91-1))),INDEX($C$88:$O$88,D$91)-$B98)</f>
        <v>412.089154877565</v>
      </c>
      <c r="E98" s="16" t="n">
        <f aca="false">MIN(IF(E$91=1,1E+099,INDEX($C$87:$O$87,MAX(1,E$91-1))),INDEX($C$88:$O$88,E$91)-$B98)</f>
        <v>412.089154877565</v>
      </c>
      <c r="F98" s="16" t="n">
        <f aca="false">MIN(IF(F$91=1,1E+099,INDEX($C$87:$O$87,MAX(1,F$91-1))),INDEX($C$88:$O$88,F$91)-$B98)</f>
        <v>412.089154877565</v>
      </c>
      <c r="G98" s="16" t="n">
        <f aca="false">MIN(IF(G$91=1,1E+099,INDEX($C$87:$O$87,MAX(1,G$91-1))),INDEX($C$88:$O$88,G$91)-$B98)</f>
        <v>412.089154877565</v>
      </c>
      <c r="H98" s="16" t="n">
        <f aca="false">MIN(IF(H$91=1,1E+099,INDEX($C$87:$O$87,MAX(1,H$91-1))),INDEX($C$88:$O$88,H$91)-$B98)</f>
        <v>667.587393723719</v>
      </c>
      <c r="I98" s="16" t="n">
        <f aca="false">MIN(IF(I$91=1,1E+099,INDEX($C$87:$O$87,MAX(1,I$91-1))),INDEX($C$88:$O$88,I$91)-$B98)</f>
        <v>826.209702588527</v>
      </c>
      <c r="J98" s="16" t="n">
        <f aca="false">MIN(IF(J$91=1,1E+099,INDEX($C$87:$O$87,MAX(1,J$91-1))),INDEX($C$88:$O$88,J$91)-$B98)</f>
        <v>2000.02794456231</v>
      </c>
      <c r="K98" s="16" t="n">
        <f aca="false">MIN(IF(K$91=1,1E+099,INDEX($C$87:$O$87,MAX(1,K$91-1))),INDEX($C$88:$O$88,K$91)-$B98)</f>
        <v>2000.02794456231</v>
      </c>
      <c r="L98" s="16" t="n">
        <f aca="false">MIN(IF(L$91=1,1E+099,INDEX($C$87:$O$87,MAX(1,L$91-1))),INDEX($C$88:$O$88,L$91)-$B98)</f>
        <v>2000.02794456231</v>
      </c>
      <c r="M98" s="16" t="n">
        <f aca="false">MIN(IF(M$91=1,1E+099,INDEX($C$87:$O$87,MAX(1,M$91-1))),INDEX($C$88:$O$88,M$91)-$B98)</f>
        <v>2239.14932344577</v>
      </c>
      <c r="N98" s="16" t="n">
        <f aca="false">MIN(IF(N$91=1,1E+099,INDEX($C$87:$O$87,MAX(1,N$91-1))),INDEX($C$88:$O$88,N$91)-$B98)</f>
        <v>2470.08227234789</v>
      </c>
      <c r="O98" s="16" t="n">
        <f aca="false">MIN(IF(O$91=1,1E+099,INDEX($C$87:$O$87,MAX(1,O$91-1))),INDEX($C$88:$O$88,O$91)-$B98)</f>
        <v>2701.01522125</v>
      </c>
    </row>
    <row r="99" customFormat="false" ht="15" hidden="false" customHeight="true" outlineLevel="0" collapsed="false">
      <c r="A99" s="17" t="s">
        <v>340</v>
      </c>
      <c r="B99" s="16" t="n">
        <f aca="false">'0_Control_Panel'!$B$42</f>
        <v>7076</v>
      </c>
      <c r="C99" s="16" t="n">
        <f aca="false">MIN(IF(C$91=1,1E+099,INDEX($C$87:$O$87,MAX(1,C$91-1))),INDEX($C$88:$O$88,C$91)-$B99)</f>
        <v>-3163.91084512243</v>
      </c>
      <c r="D99" s="16" t="n">
        <f aca="false">MIN(IF(D$91=1,1E+099,INDEX($C$87:$O$87,MAX(1,D$91-1))),INDEX($C$88:$O$88,D$91)-$B99)</f>
        <v>-3163.91084512243</v>
      </c>
      <c r="E99" s="16" t="n">
        <f aca="false">MIN(IF(E$91=1,1E+099,INDEX($C$87:$O$87,MAX(1,E$91-1))),INDEX($C$88:$O$88,E$91)-$B99)</f>
        <v>-3163.91084512243</v>
      </c>
      <c r="F99" s="16" t="n">
        <f aca="false">MIN(IF(F$91=1,1E+099,INDEX($C$87:$O$87,MAX(1,F$91-1))),INDEX($C$88:$O$88,F$91)-$B99)</f>
        <v>-3163.91084512243</v>
      </c>
      <c r="G99" s="16" t="n">
        <f aca="false">MIN(IF(G$91=1,1E+099,INDEX($C$87:$O$87,MAX(1,G$91-1))),INDEX($C$88:$O$88,G$91)-$B99)</f>
        <v>-3163.91084512243</v>
      </c>
      <c r="H99" s="16" t="n">
        <f aca="false">MIN(IF(H$91=1,1E+099,INDEX($C$87:$O$87,MAX(1,H$91-1))),INDEX($C$88:$O$88,H$91)-$B99)</f>
        <v>-2908.41260627628</v>
      </c>
      <c r="I99" s="16" t="n">
        <f aca="false">MIN(IF(I$91=1,1E+099,INDEX($C$87:$O$87,MAX(1,I$91-1))),INDEX($C$88:$O$88,I$91)-$B99)</f>
        <v>-2749.79029741147</v>
      </c>
      <c r="J99" s="16" t="n">
        <f aca="false">MIN(IF(J$91=1,1E+099,INDEX($C$87:$O$87,MAX(1,J$91-1))),INDEX($C$88:$O$88,J$91)-$B99)</f>
        <v>-1575.97205543769</v>
      </c>
      <c r="K99" s="16" t="n">
        <f aca="false">MIN(IF(K$91=1,1E+099,INDEX($C$87:$O$87,MAX(1,K$91-1))),INDEX($C$88:$O$88,K$91)-$B99)</f>
        <v>-1575.97205543769</v>
      </c>
      <c r="L99" s="16" t="n">
        <f aca="false">MIN(IF(L$91=1,1E+099,INDEX($C$87:$O$87,MAX(1,L$91-1))),INDEX($C$88:$O$88,L$91)-$B99)</f>
        <v>-1575.97205543769</v>
      </c>
      <c r="M99" s="16" t="n">
        <f aca="false">MIN(IF(M$91=1,1E+099,INDEX($C$87:$O$87,MAX(1,M$91-1))),INDEX($C$88:$O$88,M$91)-$B99)</f>
        <v>-1336.85067655423</v>
      </c>
      <c r="N99" s="16" t="n">
        <f aca="false">MIN(IF(N$91=1,1E+099,INDEX($C$87:$O$87,MAX(1,N$91-1))),INDEX($C$88:$O$88,N$91)-$B99)</f>
        <v>-1105.91772765211</v>
      </c>
      <c r="O99" s="16" t="n">
        <f aca="false">MIN(IF(O$91=1,1E+099,INDEX($C$87:$O$87,MAX(1,O$91-1))),INDEX($C$88:$O$88,O$91)-$B99)</f>
        <v>-874.984778749998</v>
      </c>
    </row>
    <row r="101" customFormat="false" ht="15" hidden="false" customHeight="true" outlineLevel="0" collapsed="false">
      <c r="A101" s="6" t="s">
        <v>341</v>
      </c>
    </row>
    <row r="102" customFormat="false" ht="15" hidden="false" customHeight="true" outlineLevel="0" collapsed="false">
      <c r="A102" s="47" t="s">
        <v>339</v>
      </c>
      <c r="B102" s="47"/>
      <c r="C102" s="48" t="n">
        <f aca="false">C34</f>
        <v>1</v>
      </c>
      <c r="D102" s="48" t="n">
        <f aca="false">D34</f>
        <v>2</v>
      </c>
      <c r="E102" s="48" t="n">
        <f aca="false">E34</f>
        <v>3</v>
      </c>
      <c r="F102" s="48" t="n">
        <f aca="false">F34</f>
        <v>4</v>
      </c>
      <c r="G102" s="48" t="n">
        <f aca="false">G34</f>
        <v>5</v>
      </c>
      <c r="H102" s="48" t="n">
        <f aca="false">H34</f>
        <v>6</v>
      </c>
      <c r="I102" s="48" t="n">
        <f aca="false">I34</f>
        <v>7</v>
      </c>
      <c r="J102" s="48" t="n">
        <f aca="false">J34</f>
        <v>8</v>
      </c>
      <c r="K102" s="48" t="n">
        <f aca="false">K34</f>
        <v>9</v>
      </c>
      <c r="L102" s="48" t="n">
        <f aca="false">L34</f>
        <v>10</v>
      </c>
      <c r="M102" s="48" t="n">
        <f aca="false">M34</f>
        <v>11</v>
      </c>
      <c r="N102" s="48" t="n">
        <f aca="false">N34</f>
        <v>12</v>
      </c>
      <c r="O102" s="48" t="n">
        <f aca="false">O34</f>
        <v>13</v>
      </c>
    </row>
    <row r="103" customFormat="false" ht="15" hidden="false" customHeight="true" outlineLevel="0" collapsed="false">
      <c r="B103" s="16" t="n">
        <f aca="false">B92</f>
        <v>0</v>
      </c>
      <c r="C103" s="45" t="n">
        <f aca="false">SUMPRODUCT(--(($C$86:$O$86-$B103*($C$34:$O$34&gt;=C$102))&lt;$B$30))</f>
        <v>1</v>
      </c>
      <c r="D103" s="45" t="n">
        <f aca="false">SUMPRODUCT(--(($C$86:$O$86-$B103*($C$34:$O$34&gt;=D$102))&lt;$B$30))</f>
        <v>1</v>
      </c>
      <c r="E103" s="45" t="n">
        <f aca="false">SUMPRODUCT(--(($C$86:$O$86-$B103*($C$34:$O$34&gt;=E$102))&lt;$B$30))</f>
        <v>1</v>
      </c>
      <c r="F103" s="45" t="n">
        <f aca="false">SUMPRODUCT(--(($C$86:$O$86-$B103*($C$34:$O$34&gt;=F$102))&lt;$B$30))</f>
        <v>1</v>
      </c>
      <c r="G103" s="45" t="n">
        <f aca="false">SUMPRODUCT(--(($C$86:$O$86-$B103*($C$34:$O$34&gt;=G$102))&lt;$B$30))</f>
        <v>1</v>
      </c>
      <c r="H103" s="45" t="n">
        <f aca="false">SUMPRODUCT(--(($C$86:$O$86-$B103*($C$34:$O$34&gt;=H$102))&lt;$B$30))</f>
        <v>1</v>
      </c>
      <c r="I103" s="45" t="n">
        <f aca="false">SUMPRODUCT(--(($C$86:$O$86-$B103*($C$34:$O$34&gt;=I$102))&lt;$B$30))</f>
        <v>1</v>
      </c>
      <c r="J103" s="45" t="n">
        <f aca="false">SUMPRODUCT(--(($C$86:$O$86-$B103*($C$34:$O$34&gt;=J$102))&lt;$B$30))</f>
        <v>1</v>
      </c>
      <c r="K103" s="45" t="n">
        <f aca="false">SUMPRODUCT(--(($C$86:$O$86-$B103*($C$34:$O$34&gt;=K$102))&lt;$B$30))</f>
        <v>1</v>
      </c>
      <c r="L103" s="45" t="n">
        <f aca="false">SUMPRODUCT(--(($C$86:$O$86-$B103*($C$34:$O$34&gt;=L$102))&lt;$B$30))</f>
        <v>1</v>
      </c>
      <c r="M103" s="45" t="n">
        <f aca="false">SUMPRODUCT(--(($C$86:$O$86-$B103*($C$34:$O$34&gt;=M$102))&lt;$B$30))</f>
        <v>1</v>
      </c>
      <c r="N103" s="45" t="n">
        <f aca="false">SUMPRODUCT(--(($C$86:$O$86-$B103*($C$34:$O$34&gt;=N$102))&lt;$B$30))</f>
        <v>1</v>
      </c>
      <c r="O103" s="45" t="n">
        <f aca="false">SUMPRODUCT(--(($C$86:$O$86-$B103*($C$34:$O$34&gt;=O$102))&lt;$B$30))</f>
        <v>1</v>
      </c>
    </row>
    <row r="104" customFormat="false" ht="15" hidden="false" customHeight="true" outlineLevel="0" collapsed="false">
      <c r="B104" s="16" t="n">
        <f aca="false">B93</f>
        <v>1000</v>
      </c>
      <c r="C104" s="45" t="n">
        <f aca="false">SUMPRODUCT(--(($C$86:$O$86-$B104*($C$34:$O$34&gt;=C$102))&lt;$B$30))</f>
        <v>7</v>
      </c>
      <c r="D104" s="45" t="n">
        <f aca="false">SUMPRODUCT(--(($C$86:$O$86-$B104*($C$34:$O$34&gt;=D$102))&lt;$B$30))</f>
        <v>6</v>
      </c>
      <c r="E104" s="45" t="n">
        <f aca="false">SUMPRODUCT(--(($C$86:$O$86-$B104*($C$34:$O$34&gt;=E$102))&lt;$B$30))</f>
        <v>5</v>
      </c>
      <c r="F104" s="45" t="n">
        <f aca="false">SUMPRODUCT(--(($C$86:$O$86-$B104*($C$34:$O$34&gt;=F$102))&lt;$B$30))</f>
        <v>4</v>
      </c>
      <c r="G104" s="45" t="n">
        <f aca="false">SUMPRODUCT(--(($C$86:$O$86-$B104*($C$34:$O$34&gt;=G$102))&lt;$B$30))</f>
        <v>3</v>
      </c>
      <c r="H104" s="45" t="n">
        <f aca="false">SUMPRODUCT(--(($C$86:$O$86-$B104*($C$34:$O$34&gt;=H$102))&lt;$B$30))</f>
        <v>3</v>
      </c>
      <c r="I104" s="45" t="n">
        <f aca="false">SUMPRODUCT(--(($C$86:$O$86-$B104*($C$34:$O$34&gt;=I$102))&lt;$B$30))</f>
        <v>2</v>
      </c>
      <c r="J104" s="45" t="n">
        <f aca="false">SUMPRODUCT(--(($C$86:$O$86-$B104*($C$34:$O$34&gt;=J$102))&lt;$B$30))</f>
        <v>1</v>
      </c>
      <c r="K104" s="45" t="n">
        <f aca="false">SUMPRODUCT(--(($C$86:$O$86-$B104*($C$34:$O$34&gt;=K$102))&lt;$B$30))</f>
        <v>1</v>
      </c>
      <c r="L104" s="45" t="n">
        <f aca="false">SUMPRODUCT(--(($C$86:$O$86-$B104*($C$34:$O$34&gt;=L$102))&lt;$B$30))</f>
        <v>1</v>
      </c>
      <c r="M104" s="45" t="n">
        <f aca="false">SUMPRODUCT(--(($C$86:$O$86-$B104*($C$34:$O$34&gt;=M$102))&lt;$B$30))</f>
        <v>1</v>
      </c>
      <c r="N104" s="45" t="n">
        <f aca="false">SUMPRODUCT(--(($C$86:$O$86-$B104*($C$34:$O$34&gt;=N$102))&lt;$B$30))</f>
        <v>1</v>
      </c>
      <c r="O104" s="45" t="n">
        <f aca="false">SUMPRODUCT(--(($C$86:$O$86-$B104*($C$34:$O$34&gt;=O$102))&lt;$B$30))</f>
        <v>1</v>
      </c>
    </row>
    <row r="105" customFormat="false" ht="15" hidden="false" customHeight="true" outlineLevel="0" collapsed="false">
      <c r="B105" s="16" t="n">
        <f aca="false">B94</f>
        <v>1500</v>
      </c>
      <c r="C105" s="45" t="n">
        <f aca="false">SUMPRODUCT(--(($C$86:$O$86-$B105*($C$34:$O$34&gt;=C$102))&lt;$B$30))</f>
        <v>7</v>
      </c>
      <c r="D105" s="45" t="n">
        <f aca="false">SUMPRODUCT(--(($C$86:$O$86-$B105*($C$34:$O$34&gt;=D$102))&lt;$B$30))</f>
        <v>6</v>
      </c>
      <c r="E105" s="45" t="n">
        <f aca="false">SUMPRODUCT(--(($C$86:$O$86-$B105*($C$34:$O$34&gt;=E$102))&lt;$B$30))</f>
        <v>5</v>
      </c>
      <c r="F105" s="45" t="n">
        <f aca="false">SUMPRODUCT(--(($C$86:$O$86-$B105*($C$34:$O$34&gt;=F$102))&lt;$B$30))</f>
        <v>4</v>
      </c>
      <c r="G105" s="45" t="n">
        <f aca="false">SUMPRODUCT(--(($C$86:$O$86-$B105*($C$34:$O$34&gt;=G$102))&lt;$B$30))</f>
        <v>3</v>
      </c>
      <c r="H105" s="45" t="n">
        <f aca="false">SUMPRODUCT(--(($C$86:$O$86-$B105*($C$34:$O$34&gt;=H$102))&lt;$B$30))</f>
        <v>3</v>
      </c>
      <c r="I105" s="45" t="n">
        <f aca="false">SUMPRODUCT(--(($C$86:$O$86-$B105*($C$34:$O$34&gt;=I$102))&lt;$B$30))</f>
        <v>2</v>
      </c>
      <c r="J105" s="45" t="n">
        <f aca="false">SUMPRODUCT(--(($C$86:$O$86-$B105*($C$34:$O$34&gt;=J$102))&lt;$B$30))</f>
        <v>1</v>
      </c>
      <c r="K105" s="45" t="n">
        <f aca="false">SUMPRODUCT(--(($C$86:$O$86-$B105*($C$34:$O$34&gt;=K$102))&lt;$B$30))</f>
        <v>1</v>
      </c>
      <c r="L105" s="45" t="n">
        <f aca="false">SUMPRODUCT(--(($C$86:$O$86-$B105*($C$34:$O$34&gt;=L$102))&lt;$B$30))</f>
        <v>1</v>
      </c>
      <c r="M105" s="45" t="n">
        <f aca="false">SUMPRODUCT(--(($C$86:$O$86-$B105*($C$34:$O$34&gt;=M$102))&lt;$B$30))</f>
        <v>1</v>
      </c>
      <c r="N105" s="45" t="n">
        <f aca="false">SUMPRODUCT(--(($C$86:$O$86-$B105*($C$34:$O$34&gt;=N$102))&lt;$B$30))</f>
        <v>1</v>
      </c>
      <c r="O105" s="45" t="n">
        <f aca="false">SUMPRODUCT(--(($C$86:$O$86-$B105*($C$34:$O$34&gt;=O$102))&lt;$B$30))</f>
        <v>1</v>
      </c>
    </row>
    <row r="106" customFormat="false" ht="15" hidden="false" customHeight="true" outlineLevel="0" collapsed="false">
      <c r="B106" s="16" t="n">
        <f aca="false">B95</f>
        <v>2000</v>
      </c>
      <c r="C106" s="45" t="n">
        <f aca="false">SUMPRODUCT(--(($C$86:$O$86-$B106*($C$34:$O$34&gt;=C$102))&lt;$B$30))</f>
        <v>10</v>
      </c>
      <c r="D106" s="45" t="n">
        <f aca="false">SUMPRODUCT(--(($C$86:$O$86-$B106*($C$34:$O$34&gt;=D$102))&lt;$B$30))</f>
        <v>9</v>
      </c>
      <c r="E106" s="45" t="n">
        <f aca="false">SUMPRODUCT(--(($C$86:$O$86-$B106*($C$34:$O$34&gt;=E$102))&lt;$B$30))</f>
        <v>8</v>
      </c>
      <c r="F106" s="45" t="n">
        <f aca="false">SUMPRODUCT(--(($C$86:$O$86-$B106*($C$34:$O$34&gt;=F$102))&lt;$B$30))</f>
        <v>7</v>
      </c>
      <c r="G106" s="45" t="n">
        <f aca="false">SUMPRODUCT(--(($C$86:$O$86-$B106*($C$34:$O$34&gt;=G$102))&lt;$B$30))</f>
        <v>6</v>
      </c>
      <c r="H106" s="45" t="n">
        <f aca="false">SUMPRODUCT(--(($C$86:$O$86-$B106*($C$34:$O$34&gt;=H$102))&lt;$B$30))</f>
        <v>6</v>
      </c>
      <c r="I106" s="45" t="n">
        <f aca="false">SUMPRODUCT(--(($C$86:$O$86-$B106*($C$34:$O$34&gt;=I$102))&lt;$B$30))</f>
        <v>5</v>
      </c>
      <c r="J106" s="45" t="n">
        <f aca="false">SUMPRODUCT(--(($C$86:$O$86-$B106*($C$34:$O$34&gt;=J$102))&lt;$B$30))</f>
        <v>4</v>
      </c>
      <c r="K106" s="45" t="n">
        <f aca="false">SUMPRODUCT(--(($C$86:$O$86-$B106*($C$34:$O$34&gt;=K$102))&lt;$B$30))</f>
        <v>4</v>
      </c>
      <c r="L106" s="45" t="n">
        <f aca="false">SUMPRODUCT(--(($C$86:$O$86-$B106*($C$34:$O$34&gt;=L$102))&lt;$B$30))</f>
        <v>4</v>
      </c>
      <c r="M106" s="45" t="n">
        <f aca="false">SUMPRODUCT(--(($C$86:$O$86-$B106*($C$34:$O$34&gt;=M$102))&lt;$B$30))</f>
        <v>3</v>
      </c>
      <c r="N106" s="45" t="n">
        <f aca="false">SUMPRODUCT(--(($C$86:$O$86-$B106*($C$34:$O$34&gt;=N$102))&lt;$B$30))</f>
        <v>2</v>
      </c>
      <c r="O106" s="45" t="n">
        <f aca="false">SUMPRODUCT(--(($C$86:$O$86-$B106*($C$34:$O$34&gt;=O$102))&lt;$B$30))</f>
        <v>1</v>
      </c>
    </row>
    <row r="107" customFormat="false" ht="15" hidden="false" customHeight="true" outlineLevel="0" collapsed="false">
      <c r="B107" s="16" t="n">
        <f aca="false">B96</f>
        <v>2500</v>
      </c>
      <c r="C107" s="45" t="n">
        <f aca="false">SUMPRODUCT(--(($C$86:$O$86-$B107*($C$34:$O$34&gt;=C$102))&lt;$B$30))</f>
        <v>13</v>
      </c>
      <c r="D107" s="45" t="n">
        <f aca="false">SUMPRODUCT(--(($C$86:$O$86-$B107*($C$34:$O$34&gt;=D$102))&lt;$B$30))</f>
        <v>12</v>
      </c>
      <c r="E107" s="45" t="n">
        <f aca="false">SUMPRODUCT(--(($C$86:$O$86-$B107*($C$34:$O$34&gt;=E$102))&lt;$B$30))</f>
        <v>11</v>
      </c>
      <c r="F107" s="45" t="n">
        <f aca="false">SUMPRODUCT(--(($C$86:$O$86-$B107*($C$34:$O$34&gt;=F$102))&lt;$B$30))</f>
        <v>10</v>
      </c>
      <c r="G107" s="45" t="n">
        <f aca="false">SUMPRODUCT(--(($C$86:$O$86-$B107*($C$34:$O$34&gt;=G$102))&lt;$B$30))</f>
        <v>9</v>
      </c>
      <c r="H107" s="45" t="n">
        <f aca="false">SUMPRODUCT(--(($C$86:$O$86-$B107*($C$34:$O$34&gt;=H$102))&lt;$B$30))</f>
        <v>9</v>
      </c>
      <c r="I107" s="45" t="n">
        <f aca="false">SUMPRODUCT(--(($C$86:$O$86-$B107*($C$34:$O$34&gt;=I$102))&lt;$B$30))</f>
        <v>8</v>
      </c>
      <c r="J107" s="45" t="n">
        <f aca="false">SUMPRODUCT(--(($C$86:$O$86-$B107*($C$34:$O$34&gt;=J$102))&lt;$B$30))</f>
        <v>7</v>
      </c>
      <c r="K107" s="45" t="n">
        <f aca="false">SUMPRODUCT(--(($C$86:$O$86-$B107*($C$34:$O$34&gt;=K$102))&lt;$B$30))</f>
        <v>6</v>
      </c>
      <c r="L107" s="45" t="n">
        <f aca="false">SUMPRODUCT(--(($C$86:$O$86-$B107*($C$34:$O$34&gt;=L$102))&lt;$B$30))</f>
        <v>5</v>
      </c>
      <c r="M107" s="45" t="n">
        <f aca="false">SUMPRODUCT(--(($C$86:$O$86-$B107*($C$34:$O$34&gt;=M$102))&lt;$B$30))</f>
        <v>4</v>
      </c>
      <c r="N107" s="45" t="n">
        <f aca="false">SUMPRODUCT(--(($C$86:$O$86-$B107*($C$34:$O$34&gt;=N$102))&lt;$B$30))</f>
        <v>3</v>
      </c>
      <c r="O107" s="45" t="n">
        <f aca="false">SUMPRODUCT(--(($C$86:$O$86-$B107*($C$34:$O$34&gt;=O$102))&lt;$B$30))</f>
        <v>2</v>
      </c>
    </row>
    <row r="108" customFormat="false" ht="15" hidden="false" customHeight="true" outlineLevel="0" collapsed="false">
      <c r="B108" s="16" t="n">
        <f aca="false">B97</f>
        <v>3000</v>
      </c>
      <c r="C108" s="45" t="n">
        <f aca="false">SUMPRODUCT(--(($C$86:$O$86-$B108*($C$34:$O$34&gt;=C$102))&lt;$B$30))</f>
        <v>13</v>
      </c>
      <c r="D108" s="45" t="n">
        <f aca="false">SUMPRODUCT(--(($C$86:$O$86-$B108*($C$34:$O$34&gt;=D$102))&lt;$B$30))</f>
        <v>12</v>
      </c>
      <c r="E108" s="45" t="n">
        <f aca="false">SUMPRODUCT(--(($C$86:$O$86-$B108*($C$34:$O$34&gt;=E$102))&lt;$B$30))</f>
        <v>11</v>
      </c>
      <c r="F108" s="45" t="n">
        <f aca="false">SUMPRODUCT(--(($C$86:$O$86-$B108*($C$34:$O$34&gt;=F$102))&lt;$B$30))</f>
        <v>10</v>
      </c>
      <c r="G108" s="45" t="n">
        <f aca="false">SUMPRODUCT(--(($C$86:$O$86-$B108*($C$34:$O$34&gt;=G$102))&lt;$B$30))</f>
        <v>9</v>
      </c>
      <c r="H108" s="45" t="n">
        <f aca="false">SUMPRODUCT(--(($C$86:$O$86-$B108*($C$34:$O$34&gt;=H$102))&lt;$B$30))</f>
        <v>9</v>
      </c>
      <c r="I108" s="45" t="n">
        <f aca="false">SUMPRODUCT(--(($C$86:$O$86-$B108*($C$34:$O$34&gt;=I$102))&lt;$B$30))</f>
        <v>8</v>
      </c>
      <c r="J108" s="45" t="n">
        <f aca="false">SUMPRODUCT(--(($C$86:$O$86-$B108*($C$34:$O$34&gt;=J$102))&lt;$B$30))</f>
        <v>7</v>
      </c>
      <c r="K108" s="45" t="n">
        <f aca="false">SUMPRODUCT(--(($C$86:$O$86-$B108*($C$34:$O$34&gt;=K$102))&lt;$B$30))</f>
        <v>6</v>
      </c>
      <c r="L108" s="45" t="n">
        <f aca="false">SUMPRODUCT(--(($C$86:$O$86-$B108*($C$34:$O$34&gt;=L$102))&lt;$B$30))</f>
        <v>5</v>
      </c>
      <c r="M108" s="45" t="n">
        <f aca="false">SUMPRODUCT(--(($C$86:$O$86-$B108*($C$34:$O$34&gt;=M$102))&lt;$B$30))</f>
        <v>4</v>
      </c>
      <c r="N108" s="45" t="n">
        <f aca="false">SUMPRODUCT(--(($C$86:$O$86-$B108*($C$34:$O$34&gt;=N$102))&lt;$B$30))</f>
        <v>3</v>
      </c>
      <c r="O108" s="45" t="n">
        <f aca="false">SUMPRODUCT(--(($C$86:$O$86-$B108*($C$34:$O$34&gt;=O$102))&lt;$B$30))</f>
        <v>2</v>
      </c>
    </row>
    <row r="109" customFormat="false" ht="15" hidden="false" customHeight="true" outlineLevel="0" collapsed="false">
      <c r="B109" s="16" t="n">
        <f aca="false">B98</f>
        <v>3500</v>
      </c>
      <c r="C109" s="45" t="n">
        <f aca="false">SUMPRODUCT(--(($C$86:$O$86-$B109*($C$34:$O$34&gt;=C$102))&lt;$B$30))</f>
        <v>13</v>
      </c>
      <c r="D109" s="45" t="n">
        <f aca="false">SUMPRODUCT(--(($C$86:$O$86-$B109*($C$34:$O$34&gt;=D$102))&lt;$B$30))</f>
        <v>12</v>
      </c>
      <c r="E109" s="45" t="n">
        <f aca="false">SUMPRODUCT(--(($C$86:$O$86-$B109*($C$34:$O$34&gt;=E$102))&lt;$B$30))</f>
        <v>11</v>
      </c>
      <c r="F109" s="45" t="n">
        <f aca="false">SUMPRODUCT(--(($C$86:$O$86-$B109*($C$34:$O$34&gt;=F$102))&lt;$B$30))</f>
        <v>10</v>
      </c>
      <c r="G109" s="45" t="n">
        <f aca="false">SUMPRODUCT(--(($C$86:$O$86-$B109*($C$34:$O$34&gt;=G$102))&lt;$B$30))</f>
        <v>9</v>
      </c>
      <c r="H109" s="45" t="n">
        <f aca="false">SUMPRODUCT(--(($C$86:$O$86-$B109*($C$34:$O$34&gt;=H$102))&lt;$B$30))</f>
        <v>9</v>
      </c>
      <c r="I109" s="45" t="n">
        <f aca="false">SUMPRODUCT(--(($C$86:$O$86-$B109*($C$34:$O$34&gt;=I$102))&lt;$B$30))</f>
        <v>8</v>
      </c>
      <c r="J109" s="45" t="n">
        <f aca="false">SUMPRODUCT(--(($C$86:$O$86-$B109*($C$34:$O$34&gt;=J$102))&lt;$B$30))</f>
        <v>7</v>
      </c>
      <c r="K109" s="45" t="n">
        <f aca="false">SUMPRODUCT(--(($C$86:$O$86-$B109*($C$34:$O$34&gt;=K$102))&lt;$B$30))</f>
        <v>6</v>
      </c>
      <c r="L109" s="45" t="n">
        <f aca="false">SUMPRODUCT(--(($C$86:$O$86-$B109*($C$34:$O$34&gt;=L$102))&lt;$B$30))</f>
        <v>5</v>
      </c>
      <c r="M109" s="45" t="n">
        <f aca="false">SUMPRODUCT(--(($C$86:$O$86-$B109*($C$34:$O$34&gt;=M$102))&lt;$B$30))</f>
        <v>4</v>
      </c>
      <c r="N109" s="45" t="n">
        <f aca="false">SUMPRODUCT(--(($C$86:$O$86-$B109*($C$34:$O$34&gt;=N$102))&lt;$B$30))</f>
        <v>3</v>
      </c>
      <c r="O109" s="45" t="n">
        <f aca="false">SUMPRODUCT(--(($C$86:$O$86-$B109*($C$34:$O$34&gt;=O$102))&lt;$B$30))</f>
        <v>2</v>
      </c>
    </row>
    <row r="110" customFormat="false" ht="15" hidden="false" customHeight="true" outlineLevel="0" collapsed="false">
      <c r="B110" s="16" t="n">
        <f aca="false">B99</f>
        <v>7076</v>
      </c>
      <c r="C110" s="45" t="n">
        <f aca="false">SUMPRODUCT(--(($C$86:$O$86-$B110*($C$34:$O$34&gt;=C$102))&lt;$B$30))</f>
        <v>13</v>
      </c>
      <c r="D110" s="45" t="n">
        <f aca="false">SUMPRODUCT(--(($C$86:$O$86-$B110*($C$34:$O$34&gt;=D$102))&lt;$B$30))</f>
        <v>12</v>
      </c>
      <c r="E110" s="45" t="n">
        <f aca="false">SUMPRODUCT(--(($C$86:$O$86-$B110*($C$34:$O$34&gt;=E$102))&lt;$B$30))</f>
        <v>11</v>
      </c>
      <c r="F110" s="45" t="n">
        <f aca="false">SUMPRODUCT(--(($C$86:$O$86-$B110*($C$34:$O$34&gt;=F$102))&lt;$B$30))</f>
        <v>10</v>
      </c>
      <c r="G110" s="45" t="n">
        <f aca="false">SUMPRODUCT(--(($C$86:$O$86-$B110*($C$34:$O$34&gt;=G$102))&lt;$B$30))</f>
        <v>9</v>
      </c>
      <c r="H110" s="45" t="n">
        <f aca="false">SUMPRODUCT(--(($C$86:$O$86-$B110*($C$34:$O$34&gt;=H$102))&lt;$B$30))</f>
        <v>9</v>
      </c>
      <c r="I110" s="45" t="n">
        <f aca="false">SUMPRODUCT(--(($C$86:$O$86-$B110*($C$34:$O$34&gt;=I$102))&lt;$B$30))</f>
        <v>8</v>
      </c>
      <c r="J110" s="45" t="n">
        <f aca="false">SUMPRODUCT(--(($C$86:$O$86-$B110*($C$34:$O$34&gt;=J$102))&lt;$B$30))</f>
        <v>7</v>
      </c>
      <c r="K110" s="45" t="n">
        <f aca="false">SUMPRODUCT(--(($C$86:$O$86-$B110*($C$34:$O$34&gt;=K$102))&lt;$B$30))</f>
        <v>6</v>
      </c>
      <c r="L110" s="45" t="n">
        <f aca="false">SUMPRODUCT(--(($C$86:$O$86-$B110*($C$34:$O$34&gt;=L$102))&lt;$B$30))</f>
        <v>5</v>
      </c>
      <c r="M110" s="45" t="n">
        <f aca="false">SUMPRODUCT(--(($C$86:$O$86-$B110*($C$34:$O$34&gt;=M$102))&lt;$B$30))</f>
        <v>4</v>
      </c>
      <c r="N110" s="45" t="n">
        <f aca="false">SUMPRODUCT(--(($C$86:$O$86-$B110*($C$34:$O$34&gt;=N$102))&lt;$B$30))</f>
        <v>3</v>
      </c>
      <c r="O110" s="45" t="n">
        <f aca="false">SUMPRODUCT(--(($C$86:$O$86-$B110*($C$34:$O$34&gt;=O$102))&lt;$B$30))</f>
        <v>2</v>
      </c>
    </row>
    <row r="112" customFormat="false" ht="15" hidden="false" customHeight="true" outlineLevel="0" collapsed="false">
      <c r="A112" s="6" t="s">
        <v>342</v>
      </c>
    </row>
    <row r="113" customFormat="false" ht="15" hidden="false" customHeight="true" outlineLevel="0" collapsed="false">
      <c r="A113" s="47" t="s">
        <v>343</v>
      </c>
      <c r="B113" s="47"/>
      <c r="C113" s="48" t="n">
        <f aca="false">C34</f>
        <v>1</v>
      </c>
      <c r="D113" s="48" t="n">
        <f aca="false">D34</f>
        <v>2</v>
      </c>
      <c r="E113" s="48" t="n">
        <f aca="false">E34</f>
        <v>3</v>
      </c>
      <c r="F113" s="48" t="n">
        <f aca="false">F34</f>
        <v>4</v>
      </c>
      <c r="G113" s="48" t="n">
        <f aca="false">G34</f>
        <v>5</v>
      </c>
      <c r="H113" s="48" t="n">
        <f aca="false">H34</f>
        <v>6</v>
      </c>
      <c r="I113" s="48" t="n">
        <f aca="false">I34</f>
        <v>7</v>
      </c>
      <c r="J113" s="48" t="n">
        <f aca="false">J34</f>
        <v>8</v>
      </c>
      <c r="K113" s="48" t="n">
        <f aca="false">K34</f>
        <v>9</v>
      </c>
      <c r="L113" s="48" t="n">
        <f aca="false">L34</f>
        <v>10</v>
      </c>
      <c r="M113" s="48" t="n">
        <f aca="false">M34</f>
        <v>11</v>
      </c>
      <c r="N113" s="48" t="n">
        <f aca="false">N34</f>
        <v>12</v>
      </c>
      <c r="O113" s="48" t="n">
        <f aca="false">O34</f>
        <v>13</v>
      </c>
    </row>
    <row r="114" customFormat="false" ht="15" hidden="false" customHeight="true" outlineLevel="0" collapsed="false">
      <c r="A114" s="8" t="s">
        <v>344</v>
      </c>
      <c r="C114" s="16" t="n">
        <f aca="false">IF(IF(C113=1,1E+099,INDEX($C$87:$O$87,MAX(1,C113-1)))&lt;$B$30,0,MAX(0,INDEX($C$88:$O$88,C113)-$B$30))</f>
        <v>0</v>
      </c>
      <c r="D114" s="16" t="n">
        <f aca="false">IF(IF(D113=1,1E+099,INDEX($C$87:$O$87,MAX(1,D113-1)))&lt;$B$30,0,MAX(0,INDEX($C$88:$O$88,D113)-$B$30))</f>
        <v>0</v>
      </c>
      <c r="E114" s="16" t="n">
        <f aca="false">IF(IF(E113=1,1E+099,INDEX($C$87:$O$87,MAX(1,E113-1)))&lt;$B$30,0,MAX(0,INDEX($C$88:$O$88,E113)-$B$30))</f>
        <v>0</v>
      </c>
      <c r="F114" s="16" t="n">
        <f aca="false">IF(IF(F113=1,1E+099,INDEX($C$87:$O$87,MAX(1,F113-1)))&lt;$B$30,0,MAX(0,INDEX($C$88:$O$88,F113)-$B$30))</f>
        <v>0</v>
      </c>
      <c r="G114" s="16" t="n">
        <f aca="false">IF(IF(G113=1,1E+099,INDEX($C$87:$O$87,MAX(1,G113-1)))&lt;$B$30,0,MAX(0,INDEX($C$88:$O$88,G113)-$B$30))</f>
        <v>0</v>
      </c>
      <c r="H114" s="16" t="n">
        <f aca="false">IF(IF(H113=1,1E+099,INDEX($C$87:$O$87,MAX(1,H113-1)))&lt;$B$30,0,MAX(0,INDEX($C$88:$O$88,H113)-$B$30))</f>
        <v>0</v>
      </c>
      <c r="I114" s="16" t="n">
        <f aca="false">IF(IF(I113=1,1E+099,INDEX($C$87:$O$87,MAX(1,I113-1)))&lt;$B$30,0,MAX(0,INDEX($C$88:$O$88,I113)-$B$30))</f>
        <v>0</v>
      </c>
      <c r="J114" s="16" t="n">
        <f aca="false">IF(IF(J113=1,1E+099,INDEX($C$87:$O$87,MAX(1,J113-1)))&lt;$B$30,0,MAX(0,INDEX($C$88:$O$88,J113)-$B$30))</f>
        <v>0</v>
      </c>
      <c r="K114" s="16" t="n">
        <f aca="false">IF(IF(K113=1,1E+099,INDEX($C$87:$O$87,MAX(1,K113-1)))&lt;$B$30,0,MAX(0,INDEX($C$88:$O$88,K113)-$B$30))</f>
        <v>0</v>
      </c>
      <c r="L114" s="16" t="n">
        <f aca="false">IF(IF(L113=1,1E+099,INDEX($C$87:$O$87,MAX(1,L113-1)))&lt;$B$30,0,MAX(0,INDEX($C$88:$O$88,L113)-$B$30))</f>
        <v>0</v>
      </c>
      <c r="M114" s="16" t="n">
        <f aca="false">IF(IF(M113=1,1E+099,INDEX($C$87:$O$87,MAX(1,M113-1)))&lt;$B$30,0,MAX(0,INDEX($C$88:$O$88,M113)-$B$30))</f>
        <v>0</v>
      </c>
      <c r="N114" s="16" t="n">
        <f aca="false">IF(IF(N113=1,1E+099,INDEX($C$87:$O$87,MAX(1,N113-1)))&lt;$B$30,0,MAX(0,INDEX($C$88:$O$88,N113)-$B$30))</f>
        <v>0</v>
      </c>
      <c r="O114" s="16" t="n">
        <f aca="false">IF(IF(O113=1,1E+099,INDEX($C$87:$O$87,MAX(1,O113-1)))&lt;$B$30,0,MAX(0,INDEX($C$88:$O$88,O113)-$B$30))</f>
        <v>0</v>
      </c>
    </row>
    <row r="115" customFormat="false" ht="15" hidden="false" customHeight="true" outlineLevel="0" collapsed="false">
      <c r="A115" s="8" t="s">
        <v>345</v>
      </c>
      <c r="B115" s="20" t="n">
        <f aca="false">MIN($C$86:$O$86)-$B$30</f>
        <v>-87.9108451224347</v>
      </c>
    </row>
    <row r="117" customFormat="false" ht="15" hidden="false" customHeight="true" outlineLevel="0" collapsed="false">
      <c r="A117" s="6" t="s">
        <v>346</v>
      </c>
    </row>
    <row r="118" customFormat="false" ht="21.75" hidden="false" customHeight="true" outlineLevel="0" collapsed="false">
      <c r="A118" s="47" t="s">
        <v>347</v>
      </c>
      <c r="B118" s="47" t="s">
        <v>348</v>
      </c>
      <c r="C118" s="47" t="s">
        <v>349</v>
      </c>
    </row>
    <row r="119" customFormat="false" ht="15" hidden="false" customHeight="true" outlineLevel="0" collapsed="false">
      <c r="A119" s="14" t="n">
        <v>5000</v>
      </c>
      <c r="B119" s="16" t="n">
        <f aca="false">$B$75+(A119-$B$5)</f>
        <v>2200.02794456231</v>
      </c>
      <c r="C119" s="45" t="n">
        <f aca="false">SUMPRODUCT(--(($C$68:$O$68+(A119-$B$5))&lt;$B$30))</f>
        <v>10</v>
      </c>
    </row>
    <row r="120" customFormat="false" ht="15" hidden="false" customHeight="true" outlineLevel="0" collapsed="false">
      <c r="A120" s="16" t="n">
        <f aca="false">$B$5</f>
        <v>5800</v>
      </c>
      <c r="B120" s="16" t="n">
        <f aca="false">$B$75+(A120-$B$5)</f>
        <v>3000.02794456231</v>
      </c>
      <c r="C120" s="45" t="n">
        <f aca="false">SUMPRODUCT(--(($C$68:$O$68+(A120-$B$5))&lt;$B$30))</f>
        <v>5</v>
      </c>
    </row>
    <row r="121" customFormat="false" ht="15" hidden="false" customHeight="true" outlineLevel="0" collapsed="false">
      <c r="A121" s="14" t="n">
        <v>6558</v>
      </c>
      <c r="B121" s="16" t="n">
        <f aca="false">$B$75+(A121-$B$5)</f>
        <v>3758.02794456231</v>
      </c>
      <c r="C121" s="45" t="n">
        <f aca="false">SUMPRODUCT(--(($C$68:$O$68+(A121-$B$5))&lt;$B$30))</f>
        <v>2</v>
      </c>
    </row>
    <row r="123" customFormat="false" ht="15" hidden="false" customHeight="false" outlineLevel="0" collapsed="false">
      <c r="A123" s="33" t="s">
        <v>350</v>
      </c>
      <c r="B123" s="33"/>
      <c r="C123" s="33"/>
      <c r="D123" s="33"/>
      <c r="E123" s="33"/>
    </row>
    <row r="124" customFormat="false" ht="32.8" hidden="false" customHeight="false" outlineLevel="0" collapsed="false">
      <c r="A124" s="34" t="s">
        <v>351</v>
      </c>
      <c r="B124" s="34" t="s">
        <v>352</v>
      </c>
      <c r="C124" s="34" t="s">
        <v>353</v>
      </c>
      <c r="D124" s="34" t="s">
        <v>354</v>
      </c>
      <c r="E124" s="34" t="s">
        <v>355</v>
      </c>
    </row>
    <row r="125" customFormat="false" ht="15" hidden="false" customHeight="false" outlineLevel="0" collapsed="false">
      <c r="A125" s="28" t="s">
        <v>356</v>
      </c>
      <c r="B125" s="38" t="n">
        <f aca="false">$B$15+$B$16</f>
        <v>0.215</v>
      </c>
      <c r="C125" s="38" t="n">
        <f aca="false">'3_Restructuring_Projections'!$C$22</f>
        <v>0.215</v>
      </c>
      <c r="D125" s="35" t="n">
        <f aca="false">(B125-C125)*100</f>
        <v>0</v>
      </c>
      <c r="E125" s="28" t="str">
        <f aca="false">IF(ABS(D125)&lt;0.05,"OK","DIFF")</f>
        <v>OK</v>
      </c>
    </row>
    <row r="126" customFormat="false" ht="15" hidden="false" customHeight="false" outlineLevel="0" collapsed="false">
      <c r="A126" s="28" t="s">
        <v>357</v>
      </c>
      <c r="B126" s="38" t="n">
        <f aca="false">$B$17</f>
        <v>0.09</v>
      </c>
      <c r="C126" s="38" t="n">
        <f aca="false">'3_Restructuring_Projections'!$C$23</f>
        <v>0.09</v>
      </c>
      <c r="D126" s="35" t="n">
        <f aca="false">(B126-C126)*100</f>
        <v>0</v>
      </c>
      <c r="E126" s="28" t="str">
        <f aca="false">IF(ABS(D126)&lt;0.05,"OK","DIFF")</f>
        <v>OK</v>
      </c>
    </row>
    <row r="127" customFormat="false" ht="15" hidden="false" customHeight="false" outlineLevel="0" collapsed="false">
      <c r="A127" s="28" t="s">
        <v>358</v>
      </c>
      <c r="B127" s="38" t="n">
        <f aca="false">$B$18</f>
        <v>0.046</v>
      </c>
      <c r="C127" s="38" t="n">
        <f aca="false">'3_Restructuring_Projections'!$C$24</f>
        <v>0.046</v>
      </c>
      <c r="D127" s="35" t="n">
        <f aca="false">(B127-C127)*100</f>
        <v>0</v>
      </c>
      <c r="E127" s="28" t="str">
        <f aca="false">IF(ABS(D127)&lt;0.05,"OK","DIFF")</f>
        <v>OK</v>
      </c>
    </row>
    <row r="128" customFormat="false" ht="15" hidden="false" customHeight="false" outlineLevel="0" collapsed="false">
      <c r="A128" s="28" t="s">
        <v>359</v>
      </c>
      <c r="B128" s="38" t="n">
        <f aca="false">$B$19</f>
        <v>0.118</v>
      </c>
      <c r="C128" s="38" t="n">
        <f aca="false">'3_Restructuring_Projections'!$C$25</f>
        <v>0.118</v>
      </c>
      <c r="D128" s="35" t="n">
        <f aca="false">(B128-C128)*100</f>
        <v>0</v>
      </c>
      <c r="E128" s="28" t="str">
        <f aca="false">IF(ABS(D128)&lt;0.05,"OK","DIFF")</f>
        <v>OK</v>
      </c>
    </row>
    <row r="129" customFormat="false" ht="15" hidden="false" customHeight="false" outlineLevel="0" collapsed="false">
      <c r="A129" s="28" t="s">
        <v>360</v>
      </c>
      <c r="B129" s="38" t="n">
        <f aca="false">$B$20</f>
        <v>0.1</v>
      </c>
      <c r="C129" s="38" t="n">
        <f aca="false">'3_Restructuring_Projections'!$C$26</f>
        <v>0.1</v>
      </c>
      <c r="D129" s="35" t="n">
        <f aca="false">(B129-C129)*100</f>
        <v>0</v>
      </c>
      <c r="E129" s="28" t="str">
        <f aca="false">IF(ABS(D129)&lt;0.05,"OK","DIFF")</f>
        <v>OK</v>
      </c>
    </row>
    <row r="130" customFormat="false" ht="15" hidden="false" customHeight="false" outlineLevel="0" collapsed="false">
      <c r="A130" s="49" t="s">
        <v>361</v>
      </c>
      <c r="B130" s="38" t="n">
        <f aca="false">SUM(B125:B129)</f>
        <v>0.569</v>
      </c>
      <c r="C130" s="38" t="n">
        <f aca="false">'3_Restructuring_Projections'!$C$27</f>
        <v>0.569</v>
      </c>
      <c r="D130" s="35" t="n">
        <f aca="false">(B130-C130)*100</f>
        <v>0</v>
      </c>
      <c r="E130" s="28" t="str">
        <f aca="false">IF(ABS(D130)&lt;0.05,"OK","DIFF")</f>
        <v>OK</v>
      </c>
    </row>
    <row r="131" customFormat="false" ht="15" hidden="false" customHeight="false" outlineLevel="0" collapsed="false">
      <c r="A131" s="28" t="s">
        <v>362</v>
      </c>
      <c r="B131" s="50" t="n">
        <v>0.17</v>
      </c>
      <c r="C131" s="51" t="s">
        <v>363</v>
      </c>
    </row>
    <row r="132" customFormat="false" ht="15" hidden="false" customHeight="false" outlineLevel="0" collapsed="false">
      <c r="A132" s="49" t="s">
        <v>364</v>
      </c>
    </row>
    <row r="133" customFormat="false" ht="15" hidden="false" customHeight="false" outlineLevel="0" collapsed="false">
      <c r="A133" s="28" t="s">
        <v>365</v>
      </c>
      <c r="B133" s="38" t="n">
        <f aca="false">P54/B8</f>
        <v>0.199271347462384</v>
      </c>
    </row>
    <row r="134" customFormat="false" ht="15" hidden="false" customHeight="false" outlineLevel="0" collapsed="false">
      <c r="A134" s="28" t="s">
        <v>366</v>
      </c>
      <c r="B134" s="52" t="n">
        <f aca="false">(B133-'0_Control_Panel'!$B$33/'0_Control_Panel'!$B$31)*100</f>
        <v>-1.24661835496787</v>
      </c>
      <c r="C134" s="38" t="n">
        <f aca="false">'0_Control_Panel'!$B$33/'0_Control_Panel'!$B$31</f>
        <v>0.211737531012063</v>
      </c>
      <c r="D134" s="51" t="s">
        <v>367</v>
      </c>
    </row>
    <row r="135" customFormat="false" ht="15" hidden="false" customHeight="false" outlineLevel="0" collapsed="false">
      <c r="A135" s="28" t="s">
        <v>368</v>
      </c>
      <c r="B135" s="53" t="n">
        <v>2</v>
      </c>
    </row>
    <row r="136" customFormat="false" ht="15" hidden="false" customHeight="false" outlineLevel="0" collapsed="false">
      <c r="A136" s="28" t="s">
        <v>355</v>
      </c>
      <c r="B136" s="49" t="str">
        <f aca="false">IF(ABS(B134)&lt;=B135,"OK — within ±"&amp;TEXT(B135,"0.0")&amp;" pp of reported","CHECK — TWCF margin differs from reported by "&amp;TEXT(B134,"0.0")&amp;" pp")</f>
        <v>OK — within ±2.0 pp of reported</v>
      </c>
    </row>
    <row r="137" customFormat="false" ht="15" hidden="false" customHeight="false" outlineLevel="0" collapsed="false">
      <c r="A137" s="28" t="s">
        <v>369</v>
      </c>
      <c r="B137" s="35" t="n">
        <f aca="false">($B$11-1)*100</f>
        <v>-1.5</v>
      </c>
    </row>
    <row r="138" customFormat="false" ht="15" hidden="false" customHeight="false" outlineLevel="0" collapsed="false">
      <c r="A138" s="28" t="s">
        <v>370</v>
      </c>
      <c r="B138" s="35" t="n">
        <f aca="false">$B$17*($B$8-$B$9)/$B$8*100</f>
        <v>0.219512195121952</v>
      </c>
    </row>
    <row r="139" customFormat="false" ht="15" hidden="false" customHeight="false" outlineLevel="0" collapsed="false">
      <c r="A139" s="28" t="s">
        <v>371</v>
      </c>
      <c r="B139" s="35" t="n">
        <f aca="false">B134-B137-B138</f>
        <v>0.033869449910181</v>
      </c>
      <c r="C139" s="28" t="str">
        <f aca="false">IF(ABS(B139)&lt;0.1,"OK","CHECK")</f>
        <v>OK</v>
      </c>
    </row>
    <row r="140" customFormat="false" ht="15" hidden="false" customHeight="false" outlineLevel="0" collapsed="false">
      <c r="A140" s="28" t="s">
        <v>372</v>
      </c>
      <c r="B140" s="35" t="n">
        <f aca="false">B134+(B125-B131)*100</f>
        <v>3.25338164503213</v>
      </c>
      <c r="C140" s="51" t="s">
        <v>373</v>
      </c>
    </row>
  </sheetData>
  <conditionalFormatting sqref="C68:O68">
    <cfRule type="expression" priority="2" aboveAverage="0" equalAverage="0" bottom="0" percent="0" rank="0" text="" dxfId="0">
      <formula>C68&lt;C69</formula>
    </cfRule>
  </conditionalFormatting>
  <conditionalFormatting sqref="C70:O70">
    <cfRule type="cellIs" priority="3" operator="lessThan" aboveAverage="0" equalAverage="0" bottom="0" percent="0" rank="0" text="" dxfId="0">
      <formula>0</formula>
    </cfRule>
  </conditionalFormatting>
  <conditionalFormatting sqref="C71:O71">
    <cfRule type="expression" priority="4" aboveAverage="0" equalAverage="0" bottom="0" percent="0" rank="0" text="" dxfId="2">
      <formula>C71&lt;&gt;"OK"</formula>
    </cfRule>
  </conditionalFormatting>
  <conditionalFormatting sqref="C40:P64">
    <cfRule type="cellIs" priority="5" operator="lessThan" aboveAverage="0" equalAverage="0" bottom="0" percent="0" rank="0" text="" dxfId="0">
      <formula>0</formula>
    </cfRule>
  </conditionalFormatting>
  <conditionalFormatting sqref="B80">
    <cfRule type="expression" priority="6" aboveAverage="0" equalAverage="0" bottom="0" percent="0" rank="0" text="" dxfId="0">
      <formula>B77&gt;0</formula>
    </cfRule>
  </conditionalFormatting>
  <conditionalFormatting sqref="B75">
    <cfRule type="expression" priority="7" aboveAverage="0" equalAverage="0" bottom="0" percent="0" rank="0" text="" dxfId="0">
      <formula>B75&lt;B30</formula>
    </cfRule>
  </conditionalFormatting>
  <conditionalFormatting sqref="C92:O99">
    <cfRule type="expression" priority="8" aboveAverage="0" equalAverage="0" bottom="0" percent="0" rank="0" text="" dxfId="3">
      <formula>C92&lt;$B$30</formula>
    </cfRule>
  </conditionalFormatting>
  <conditionalFormatting sqref="C103:O110">
    <cfRule type="expression" priority="9" aboveAverage="0" equalAverage="0" bottom="0" percent="0" rank="0" text="" dxfId="3">
      <formula>C103&gt;0</formula>
    </cfRule>
  </conditionalFormatting>
  <conditionalFormatting sqref="B119:B121">
    <cfRule type="expression" priority="10" aboveAverage="0" equalAverage="0" bottom="0" percent="0" rank="0" text="" dxfId="3">
      <formula>B119&lt;$B$30</formula>
    </cfRule>
  </conditionalFormatting>
  <conditionalFormatting sqref="E125:E130">
    <cfRule type="expression" priority="11" aboveAverage="0" equalAverage="0" bottom="0" percent="0" rank="0" text="" dxfId="1">
      <formula>E125="DIFF"</formula>
    </cfRule>
  </conditionalFormatting>
  <conditionalFormatting sqref="B136">
    <cfRule type="expression" priority="12" aboveAverage="0" equalAverage="0" bottom="0" percent="0" rank="0" text="" dxfId="1">
      <formula>LEFT(B136,5)="CHECK"</formula>
    </cfRule>
  </conditionalFormatting>
  <conditionalFormatting sqref="C139">
    <cfRule type="expression" priority="13" aboveAverage="0" equalAverage="0" bottom="0" percent="0" rank="0" text="" dxfId="1">
      <formula>C139="CHECK"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R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22"/>
    <col collapsed="false" customWidth="true" hidden="false" outlineLevel="0" max="17" min="4" style="1" width="12.5"/>
    <col collapsed="false" customWidth="true" hidden="false" outlineLevel="0" max="18" min="18" style="1" width="55"/>
  </cols>
  <sheetData>
    <row r="1" customFormat="false" ht="15.75" hidden="false" customHeight="true" outlineLevel="0" collapsed="false">
      <c r="A1" s="2" t="s">
        <v>374</v>
      </c>
      <c r="B1" s="3"/>
      <c r="C1" s="3"/>
      <c r="D1" s="3"/>
      <c r="E1" s="3"/>
      <c r="F1" s="3"/>
      <c r="G1" s="3"/>
      <c r="H1" s="3"/>
      <c r="I1" s="3"/>
      <c r="J1" s="3"/>
      <c r="K1" s="3"/>
      <c r="L1" s="3"/>
      <c r="M1" s="3"/>
      <c r="N1" s="3"/>
      <c r="O1" s="3"/>
      <c r="P1" s="3"/>
      <c r="Q1" s="3"/>
      <c r="R1" s="3"/>
    </row>
    <row r="2" customFormat="false" ht="15" hidden="false" customHeight="true" outlineLevel="0" collapsed="false">
      <c r="A2" s="4" t="s">
        <v>375</v>
      </c>
      <c r="B2" s="3"/>
      <c r="C2" s="3"/>
      <c r="D2" s="3"/>
      <c r="E2" s="3"/>
      <c r="F2" s="3"/>
      <c r="G2" s="3"/>
      <c r="H2" s="3"/>
      <c r="I2" s="3"/>
      <c r="J2" s="3"/>
      <c r="K2" s="3"/>
      <c r="L2" s="3"/>
      <c r="M2" s="3"/>
      <c r="N2" s="3"/>
      <c r="O2" s="3"/>
      <c r="P2" s="3"/>
      <c r="Q2" s="3"/>
      <c r="R2" s="3"/>
    </row>
    <row r="3" customFormat="false" ht="15" hidden="false" customHeight="true" outlineLevel="0" collapsed="false">
      <c r="A3" s="3"/>
      <c r="B3" s="3"/>
      <c r="C3" s="3"/>
      <c r="D3" s="3"/>
      <c r="E3" s="3"/>
      <c r="F3" s="3"/>
      <c r="G3" s="3"/>
      <c r="H3" s="3"/>
      <c r="I3" s="3"/>
      <c r="J3" s="3"/>
      <c r="K3" s="3"/>
      <c r="L3" s="3"/>
      <c r="M3" s="3"/>
      <c r="N3" s="3"/>
      <c r="O3" s="3"/>
      <c r="P3" s="3"/>
      <c r="Q3" s="3"/>
      <c r="R3" s="3"/>
    </row>
    <row r="4" customFormat="false" ht="15" hidden="false" customHeight="true" outlineLevel="0" collapsed="false">
      <c r="A4" s="5" t="s">
        <v>376</v>
      </c>
      <c r="B4" s="5"/>
      <c r="C4" s="5"/>
      <c r="D4" s="5"/>
      <c r="E4" s="3"/>
      <c r="F4" s="3"/>
      <c r="G4" s="3"/>
      <c r="H4" s="3"/>
      <c r="I4" s="3"/>
      <c r="J4" s="3"/>
      <c r="K4" s="3"/>
      <c r="L4" s="3"/>
      <c r="M4" s="3"/>
      <c r="N4" s="3"/>
      <c r="O4" s="3"/>
      <c r="P4" s="3"/>
      <c r="Q4" s="3"/>
      <c r="R4" s="3"/>
    </row>
    <row r="5" customFormat="false" ht="15" hidden="false" customHeight="true" outlineLevel="0" collapsed="false">
      <c r="A5" s="8" t="s">
        <v>377</v>
      </c>
      <c r="B5" s="45" t="n">
        <f aca="false">'1_TWCF_13_Week_Liquidity'!$B$79</f>
        <v>0</v>
      </c>
      <c r="C5" s="3"/>
      <c r="D5" s="3"/>
      <c r="E5" s="3"/>
      <c r="F5" s="3"/>
      <c r="G5" s="3"/>
      <c r="H5" s="3"/>
      <c r="I5" s="3"/>
      <c r="J5" s="3"/>
      <c r="K5" s="3"/>
      <c r="L5" s="3"/>
      <c r="M5" s="3"/>
      <c r="N5" s="3"/>
      <c r="O5" s="3"/>
      <c r="P5" s="3"/>
      <c r="Q5" s="3"/>
      <c r="R5" s="3"/>
    </row>
    <row r="6" customFormat="false" ht="15" hidden="false" customHeight="true" outlineLevel="0" collapsed="false">
      <c r="A6" s="8" t="s">
        <v>378</v>
      </c>
      <c r="B6" s="45" t="n">
        <f aca="false">'0_Control_Panel'!$E$84</f>
        <v>0</v>
      </c>
      <c r="C6" s="3"/>
      <c r="D6" s="3"/>
      <c r="E6" s="3"/>
      <c r="F6" s="3"/>
      <c r="G6" s="3"/>
      <c r="H6" s="3"/>
      <c r="I6" s="3"/>
      <c r="J6" s="3"/>
      <c r="K6" s="3"/>
      <c r="L6" s="3"/>
      <c r="M6" s="3"/>
      <c r="N6" s="3"/>
      <c r="O6" s="3"/>
      <c r="P6" s="3"/>
      <c r="Q6" s="3"/>
      <c r="R6" s="3"/>
    </row>
    <row r="7" customFormat="false" ht="15" hidden="false" customHeight="true" outlineLevel="0" collapsed="false">
      <c r="A7" s="8" t="s">
        <v>379</v>
      </c>
      <c r="B7" s="45" t="n">
        <f aca="false">'0_Control_Panel'!$B$19</f>
        <v>0</v>
      </c>
      <c r="C7" s="3"/>
      <c r="D7" s="3"/>
      <c r="E7" s="3"/>
      <c r="F7" s="3"/>
      <c r="G7" s="3"/>
      <c r="H7" s="3"/>
      <c r="I7" s="3"/>
      <c r="J7" s="3"/>
      <c r="K7" s="3"/>
      <c r="L7" s="3"/>
      <c r="M7" s="3"/>
      <c r="N7" s="3"/>
      <c r="O7" s="3"/>
      <c r="P7" s="3"/>
      <c r="Q7" s="3"/>
      <c r="R7" s="3"/>
    </row>
    <row r="8" customFormat="false" ht="15" hidden="false" customHeight="true" outlineLevel="0" collapsed="false">
      <c r="A8" s="6" t="s">
        <v>380</v>
      </c>
      <c r="B8" s="23" t="n">
        <f aca="false">MAX(B5:B7)</f>
        <v>0</v>
      </c>
      <c r="C8" s="3"/>
      <c r="D8" s="3"/>
      <c r="E8" s="3"/>
      <c r="F8" s="3"/>
      <c r="G8" s="3"/>
      <c r="H8" s="3"/>
      <c r="I8" s="3"/>
      <c r="J8" s="3"/>
      <c r="K8" s="3"/>
      <c r="L8" s="3"/>
      <c r="M8" s="3"/>
      <c r="N8" s="3"/>
      <c r="O8" s="3"/>
      <c r="P8" s="3"/>
      <c r="Q8" s="3"/>
      <c r="R8" s="3"/>
    </row>
    <row r="9" customFormat="false" ht="15" hidden="false" customHeight="true" outlineLevel="0" collapsed="false">
      <c r="A9" s="8" t="s">
        <v>381</v>
      </c>
      <c r="B9" s="42" t="n">
        <f aca="false">B8*'0_Control_Panel'!$B$20/10000</f>
        <v>0</v>
      </c>
      <c r="C9" s="3"/>
      <c r="D9" s="3"/>
      <c r="E9" s="3"/>
      <c r="F9" s="3"/>
      <c r="G9" s="3"/>
      <c r="H9" s="3"/>
      <c r="I9" s="3"/>
      <c r="J9" s="3"/>
      <c r="K9" s="3"/>
      <c r="L9" s="3"/>
      <c r="M9" s="3"/>
      <c r="N9" s="3"/>
      <c r="O9" s="3"/>
      <c r="P9" s="3"/>
      <c r="Q9" s="3"/>
      <c r="R9" s="3"/>
    </row>
    <row r="10" customFormat="false" ht="15" hidden="false" customHeight="true" outlineLevel="0" collapsed="false">
      <c r="A10" s="3"/>
      <c r="B10" s="3"/>
      <c r="C10" s="3"/>
      <c r="D10" s="3"/>
      <c r="E10" s="3"/>
      <c r="F10" s="3"/>
      <c r="G10" s="3"/>
      <c r="H10" s="3"/>
      <c r="I10" s="3"/>
      <c r="J10" s="3"/>
      <c r="K10" s="3"/>
      <c r="L10" s="3"/>
      <c r="M10" s="3"/>
      <c r="N10" s="3"/>
      <c r="O10" s="3"/>
      <c r="P10" s="3"/>
      <c r="Q10" s="3"/>
      <c r="R10" s="3"/>
    </row>
    <row r="11" customFormat="false" ht="15" hidden="false" customHeight="true" outlineLevel="0" collapsed="false">
      <c r="A11" s="3"/>
      <c r="B11" s="3"/>
      <c r="C11" s="3"/>
      <c r="D11" s="3"/>
      <c r="E11" s="3"/>
      <c r="F11" s="3"/>
      <c r="G11" s="3"/>
      <c r="H11" s="3"/>
      <c r="I11" s="3"/>
      <c r="J11" s="3"/>
      <c r="K11" s="3"/>
      <c r="L11" s="3"/>
      <c r="M11" s="3"/>
      <c r="N11" s="3"/>
      <c r="O11" s="3"/>
      <c r="P11" s="3"/>
      <c r="Q11" s="3"/>
      <c r="R11" s="3"/>
    </row>
    <row r="12" customFormat="false" ht="15" hidden="false" customHeight="true" outlineLevel="0" collapsed="false">
      <c r="A12" s="5" t="s">
        <v>382</v>
      </c>
      <c r="B12" s="5"/>
      <c r="C12" s="5"/>
      <c r="D12" s="5"/>
      <c r="E12" s="5"/>
      <c r="F12" s="5"/>
      <c r="G12" s="5"/>
      <c r="H12" s="5"/>
      <c r="I12" s="5"/>
      <c r="J12" s="5"/>
      <c r="K12" s="5"/>
      <c r="L12" s="5"/>
      <c r="M12" s="5"/>
      <c r="N12" s="5"/>
      <c r="O12" s="5"/>
      <c r="P12" s="5"/>
      <c r="Q12" s="5"/>
      <c r="R12" s="5"/>
    </row>
    <row r="13" customFormat="false" ht="30" hidden="false" customHeight="true" outlineLevel="0" collapsed="false">
      <c r="A13" s="47" t="s">
        <v>383</v>
      </c>
      <c r="B13" s="47" t="s">
        <v>384</v>
      </c>
      <c r="C13" s="47" t="s">
        <v>385</v>
      </c>
      <c r="D13" s="47" t="s">
        <v>386</v>
      </c>
      <c r="E13" s="47" t="s">
        <v>387</v>
      </c>
      <c r="F13" s="47" t="s">
        <v>388</v>
      </c>
      <c r="G13" s="47" t="s">
        <v>389</v>
      </c>
      <c r="H13" s="47" t="s">
        <v>390</v>
      </c>
      <c r="I13" s="47" t="s">
        <v>391</v>
      </c>
      <c r="J13" s="47" t="s">
        <v>392</v>
      </c>
      <c r="K13" s="47" t="s">
        <v>393</v>
      </c>
      <c r="L13" s="47" t="s">
        <v>394</v>
      </c>
      <c r="M13" s="47" t="s">
        <v>395</v>
      </c>
      <c r="N13" s="47" t="s">
        <v>396</v>
      </c>
      <c r="O13" s="47" t="s">
        <v>397</v>
      </c>
      <c r="P13" s="47" t="s">
        <v>398</v>
      </c>
      <c r="Q13" s="47" t="s">
        <v>399</v>
      </c>
      <c r="R13" s="47" t="s">
        <v>400</v>
      </c>
    </row>
    <row r="14" customFormat="false" ht="15" hidden="false" customHeight="true" outlineLevel="0" collapsed="false">
      <c r="A14" s="8" t="s">
        <v>401</v>
      </c>
      <c r="B14" s="8" t="s">
        <v>402</v>
      </c>
      <c r="C14" s="8" t="s">
        <v>403</v>
      </c>
      <c r="D14" s="16" t="n">
        <f aca="false">'0_Control_Panel'!$B$25</f>
        <v>130299</v>
      </c>
      <c r="E14" s="42" t="n">
        <f aca="false">'0_Control_Panel'!$E$73</f>
        <v>0.075</v>
      </c>
      <c r="F14" s="42" t="n">
        <f aca="false">$B$9*0</f>
        <v>0</v>
      </c>
      <c r="G14" s="42" t="n">
        <f aca="false">E14+F14</f>
        <v>0.075</v>
      </c>
      <c r="H14" s="45" t="n">
        <f aca="false">'0_Control_Panel'!$E$74</f>
        <v>2</v>
      </c>
      <c r="I14" s="16" t="n">
        <f aca="false">P14*G14</f>
        <v>7817.94</v>
      </c>
      <c r="J14" s="16" t="n">
        <f aca="false">IF(H14=1,I14,0)</f>
        <v>0</v>
      </c>
      <c r="K14" s="16" t="n">
        <f aca="false">IF(H14=2,I14,0)</f>
        <v>7817.94</v>
      </c>
      <c r="L14" s="42" t="n">
        <f aca="false">0</f>
        <v>0</v>
      </c>
      <c r="M14" s="42" t="n">
        <f aca="false">'0_Control_Panel'!$E$70</f>
        <v>0.2</v>
      </c>
      <c r="N14" s="16" t="n">
        <f aca="false">D14*M14</f>
        <v>26059.8</v>
      </c>
      <c r="O14" s="16" t="n">
        <f aca="false">D14*L14</f>
        <v>0</v>
      </c>
      <c r="P14" s="20" t="n">
        <f aca="false">D14-N14-O14</f>
        <v>104239.2</v>
      </c>
      <c r="Q14" s="45" t="n">
        <f aca="false">0</f>
        <v>0</v>
      </c>
      <c r="R14" s="4" t="s">
        <v>404</v>
      </c>
    </row>
    <row r="15" customFormat="false" ht="15" hidden="false" customHeight="true" outlineLevel="0" collapsed="false">
      <c r="A15" s="8" t="s">
        <v>405</v>
      </c>
      <c r="B15" s="8" t="s">
        <v>402</v>
      </c>
      <c r="C15" s="8" t="s">
        <v>403</v>
      </c>
      <c r="D15" s="16" t="n">
        <f aca="false">'0_Control_Panel'!$B$26</f>
        <v>64046</v>
      </c>
      <c r="E15" s="12" t="n">
        <v>0</v>
      </c>
      <c r="F15" s="42" t="n">
        <f aca="false">$B$9*0</f>
        <v>0</v>
      </c>
      <c r="G15" s="42" t="n">
        <f aca="false">E15+F15</f>
        <v>0</v>
      </c>
      <c r="H15" s="10" t="n">
        <v>1</v>
      </c>
      <c r="I15" s="16" t="n">
        <f aca="false">P15*G15</f>
        <v>0</v>
      </c>
      <c r="J15" s="16" t="n">
        <f aca="false">IF(H15=1,I15,0)</f>
        <v>0</v>
      </c>
      <c r="K15" s="16" t="n">
        <f aca="false">IF(H15=2,I15,0)</f>
        <v>0</v>
      </c>
      <c r="L15" s="42" t="n">
        <f aca="false">0</f>
        <v>0</v>
      </c>
      <c r="M15" s="42" t="n">
        <f aca="false">'0_Control_Panel'!$E$69</f>
        <v>0.25</v>
      </c>
      <c r="N15" s="16" t="n">
        <f aca="false">D15*M15</f>
        <v>16011.5</v>
      </c>
      <c r="O15" s="16" t="n">
        <f aca="false">D15*L15</f>
        <v>0</v>
      </c>
      <c r="P15" s="20" t="n">
        <f aca="false">D15-N15-O15</f>
        <v>48034.5</v>
      </c>
      <c r="Q15" s="45" t="n">
        <f aca="false">0</f>
        <v>0</v>
      </c>
      <c r="R15" s="4" t="s">
        <v>406</v>
      </c>
    </row>
    <row r="16" customFormat="false" ht="15" hidden="false" customHeight="true" outlineLevel="0" collapsed="false">
      <c r="A16" s="8" t="s">
        <v>407</v>
      </c>
      <c r="B16" s="8" t="s">
        <v>408</v>
      </c>
      <c r="C16" s="8" t="s">
        <v>409</v>
      </c>
      <c r="D16" s="16" t="n">
        <f aca="false">'0_Control_Panel'!$B$28</f>
        <v>211</v>
      </c>
      <c r="E16" s="12" t="n">
        <v>0.105</v>
      </c>
      <c r="F16" s="42" t="n">
        <f aca="false">$B$9*1</f>
        <v>0</v>
      </c>
      <c r="G16" s="42" t="n">
        <f aca="false">E16+F16</f>
        <v>0.105</v>
      </c>
      <c r="H16" s="45" t="n">
        <f aca="false">'0_Control_Panel'!$B$21</f>
        <v>1</v>
      </c>
      <c r="I16" s="16" t="n">
        <f aca="false">P16*G16</f>
        <v>22.155</v>
      </c>
      <c r="J16" s="16" t="n">
        <f aca="false">IF(H16=1,I16,0)</f>
        <v>22.155</v>
      </c>
      <c r="K16" s="16" t="n">
        <f aca="false">IF(H16=2,I16,0)</f>
        <v>0</v>
      </c>
      <c r="L16" s="42" t="n">
        <f aca="false">'0_Control_Panel'!$E$75</f>
        <v>0</v>
      </c>
      <c r="M16" s="42" t="n">
        <f aca="false">0</f>
        <v>0</v>
      </c>
      <c r="N16" s="16" t="n">
        <f aca="false">D16*M16</f>
        <v>0</v>
      </c>
      <c r="O16" s="16" t="n">
        <f aca="false">D16*L16</f>
        <v>0</v>
      </c>
      <c r="P16" s="20" t="n">
        <f aca="false">D16-N16-O16</f>
        <v>211</v>
      </c>
      <c r="Q16" s="45" t="n">
        <f aca="false">'0_Control_Panel'!$E$80</f>
        <v>5</v>
      </c>
      <c r="R16" s="4" t="s">
        <v>410</v>
      </c>
    </row>
    <row r="17" customFormat="false" ht="15" hidden="false" customHeight="true" outlineLevel="0" collapsed="false">
      <c r="A17" s="8" t="s">
        <v>411</v>
      </c>
      <c r="B17" s="8" t="s">
        <v>408</v>
      </c>
      <c r="C17" s="8" t="s">
        <v>412</v>
      </c>
      <c r="D17" s="16" t="n">
        <f aca="false">'0_Control_Panel'!$B$58*'0_Control_Panel'!$E$83</f>
        <v>15000</v>
      </c>
      <c r="E17" s="12" t="n">
        <v>0.1025</v>
      </c>
      <c r="F17" s="42" t="n">
        <f aca="false">$B$9*1</f>
        <v>0</v>
      </c>
      <c r="G17" s="42" t="n">
        <f aca="false">E17+F17</f>
        <v>0.1025</v>
      </c>
      <c r="H17" s="45" t="n">
        <f aca="false">'0_Control_Panel'!$B$21</f>
        <v>1</v>
      </c>
      <c r="I17" s="16" t="n">
        <f aca="false">P17*G17</f>
        <v>1537.5</v>
      </c>
      <c r="J17" s="16" t="n">
        <f aca="false">IF(H17=1,I17,0)</f>
        <v>1537.5</v>
      </c>
      <c r="K17" s="16" t="n">
        <f aca="false">IF(H17=2,I17,0)</f>
        <v>0</v>
      </c>
      <c r="L17" s="42" t="n">
        <f aca="false">0</f>
        <v>0</v>
      </c>
      <c r="M17" s="42" t="n">
        <f aca="false">0</f>
        <v>0</v>
      </c>
      <c r="N17" s="16" t="n">
        <f aca="false">D17*M17</f>
        <v>0</v>
      </c>
      <c r="O17" s="16" t="n">
        <f aca="false">D17*L17</f>
        <v>0</v>
      </c>
      <c r="P17" s="20" t="n">
        <f aca="false">D17-N17-O17</f>
        <v>15000</v>
      </c>
      <c r="Q17" s="45" t="n">
        <f aca="false">'0_Control_Panel'!$E$80</f>
        <v>5</v>
      </c>
      <c r="R17" s="4" t="s">
        <v>413</v>
      </c>
    </row>
    <row r="18" customFormat="false" ht="15" hidden="false" customHeight="true" outlineLevel="0" collapsed="false">
      <c r="A18" s="8" t="s">
        <v>38</v>
      </c>
      <c r="B18" s="8" t="s">
        <v>408</v>
      </c>
      <c r="C18" s="8" t="s">
        <v>414</v>
      </c>
      <c r="D18" s="16" t="n">
        <f aca="false">'0_Control_Panel'!$B$29</f>
        <v>3300</v>
      </c>
      <c r="E18" s="12" t="n">
        <v>0.1075</v>
      </c>
      <c r="F18" s="42" t="n">
        <f aca="false">$B$9*1</f>
        <v>0</v>
      </c>
      <c r="G18" s="42" t="n">
        <f aca="false">E18+F18</f>
        <v>0.1075</v>
      </c>
      <c r="H18" s="45" t="n">
        <f aca="false">'0_Control_Panel'!$B$22</f>
        <v>1</v>
      </c>
      <c r="I18" s="16" t="n">
        <f aca="false">P18*G18</f>
        <v>354.75</v>
      </c>
      <c r="J18" s="16" t="n">
        <f aca="false">IF(H18=1,I18,0)</f>
        <v>354.75</v>
      </c>
      <c r="K18" s="16" t="n">
        <f aca="false">IF(H18=2,I18,0)</f>
        <v>0</v>
      </c>
      <c r="L18" s="42" t="n">
        <f aca="false">'0_Control_Panel'!$E$76</f>
        <v>0</v>
      </c>
      <c r="M18" s="42" t="n">
        <f aca="false">0</f>
        <v>0</v>
      </c>
      <c r="N18" s="16" t="n">
        <f aca="false">D18*M18</f>
        <v>0</v>
      </c>
      <c r="O18" s="16" t="n">
        <f aca="false">D18*L18</f>
        <v>0</v>
      </c>
      <c r="P18" s="20" t="n">
        <f aca="false">D18-N18-O18</f>
        <v>3300</v>
      </c>
      <c r="Q18" s="45" t="n">
        <f aca="false">'0_Control_Panel'!$E$80</f>
        <v>5</v>
      </c>
      <c r="R18" s="4" t="s">
        <v>415</v>
      </c>
    </row>
    <row r="19" customFormat="false" ht="15" hidden="false" customHeight="true" outlineLevel="0" collapsed="false">
      <c r="A19" s="8" t="s">
        <v>416</v>
      </c>
      <c r="B19" s="8" t="s">
        <v>417</v>
      </c>
      <c r="C19" s="8" t="s">
        <v>418</v>
      </c>
      <c r="D19" s="16" t="n">
        <f aca="false">'0_Control_Panel'!$B$52</f>
        <v>19500</v>
      </c>
      <c r="E19" s="12" t="n">
        <v>0.095</v>
      </c>
      <c r="F19" s="42" t="n">
        <f aca="false">$B$9*0</f>
        <v>0</v>
      </c>
      <c r="G19" s="42" t="n">
        <f aca="false">E19+F19</f>
        <v>0.095</v>
      </c>
      <c r="H19" s="10" t="n">
        <v>1</v>
      </c>
      <c r="I19" s="16" t="n">
        <f aca="false">P19*G19</f>
        <v>1852.5</v>
      </c>
      <c r="J19" s="16" t="n">
        <f aca="false">IF(H19=1,I19,0)</f>
        <v>1852.5</v>
      </c>
      <c r="K19" s="16" t="n">
        <f aca="false">IF(H19=2,I19,0)</f>
        <v>0</v>
      </c>
      <c r="L19" s="42" t="n">
        <f aca="false">0</f>
        <v>0</v>
      </c>
      <c r="M19" s="42" t="n">
        <f aca="false">0</f>
        <v>0</v>
      </c>
      <c r="N19" s="16" t="n">
        <f aca="false">D19*M19</f>
        <v>0</v>
      </c>
      <c r="O19" s="16" t="n">
        <f aca="false">D19*L19</f>
        <v>0</v>
      </c>
      <c r="P19" s="20" t="n">
        <f aca="false">D19-N19-O19</f>
        <v>19500</v>
      </c>
      <c r="Q19" s="45" t="n">
        <f aca="false">0</f>
        <v>0</v>
      </c>
      <c r="R19" s="4" t="s">
        <v>419</v>
      </c>
    </row>
    <row r="20" customFormat="false" ht="15" hidden="false" customHeight="true" outlineLevel="0" collapsed="false">
      <c r="A20" s="8" t="s">
        <v>420</v>
      </c>
      <c r="B20" s="8" t="s">
        <v>417</v>
      </c>
      <c r="C20" s="8" t="s">
        <v>421</v>
      </c>
      <c r="D20" s="16" t="n">
        <f aca="false">'0_Control_Panel'!$B$53</f>
        <v>2800</v>
      </c>
      <c r="E20" s="12" t="n">
        <v>0</v>
      </c>
      <c r="F20" s="42" t="n">
        <f aca="false">$B$9*0</f>
        <v>0</v>
      </c>
      <c r="G20" s="42" t="n">
        <f aca="false">E20+F20</f>
        <v>0</v>
      </c>
      <c r="H20" s="10" t="n">
        <v>1</v>
      </c>
      <c r="I20" s="16" t="n">
        <f aca="false">P20*G20</f>
        <v>0</v>
      </c>
      <c r="J20" s="16" t="n">
        <f aca="false">IF(H20=1,I20,0)</f>
        <v>0</v>
      </c>
      <c r="K20" s="16" t="n">
        <f aca="false">IF(H20=2,I20,0)</f>
        <v>0</v>
      </c>
      <c r="L20" s="42" t="n">
        <f aca="false">0</f>
        <v>0</v>
      </c>
      <c r="M20" s="42" t="n">
        <f aca="false">0</f>
        <v>0</v>
      </c>
      <c r="N20" s="16" t="n">
        <f aca="false">D20*M20</f>
        <v>0</v>
      </c>
      <c r="O20" s="16" t="n">
        <f aca="false">D20*L20</f>
        <v>0</v>
      </c>
      <c r="P20" s="20" t="n">
        <f aca="false">D20-N20-O20</f>
        <v>2800</v>
      </c>
      <c r="Q20" s="45" t="n">
        <f aca="false">0</f>
        <v>0</v>
      </c>
      <c r="R20" s="4" t="s">
        <v>422</v>
      </c>
    </row>
    <row r="21" customFormat="false" ht="15" hidden="false" customHeight="true" outlineLevel="0" collapsed="false">
      <c r="A21" s="8" t="s">
        <v>423</v>
      </c>
      <c r="B21" s="8" t="s">
        <v>417</v>
      </c>
      <c r="C21" s="8" t="s">
        <v>421</v>
      </c>
      <c r="D21" s="16" t="n">
        <f aca="false">'0_Control_Panel'!$B$54</f>
        <v>5500</v>
      </c>
      <c r="E21" s="12" t="n">
        <v>0</v>
      </c>
      <c r="F21" s="42" t="n">
        <f aca="false">$B$9*0</f>
        <v>0</v>
      </c>
      <c r="G21" s="42" t="n">
        <f aca="false">E21+F21</f>
        <v>0</v>
      </c>
      <c r="H21" s="10" t="n">
        <v>1</v>
      </c>
      <c r="I21" s="16" t="n">
        <f aca="false">P21*G21</f>
        <v>0</v>
      </c>
      <c r="J21" s="16" t="n">
        <f aca="false">IF(H21=1,I21,0)</f>
        <v>0</v>
      </c>
      <c r="K21" s="16" t="n">
        <f aca="false">IF(H21=2,I21,0)</f>
        <v>0</v>
      </c>
      <c r="L21" s="42" t="n">
        <f aca="false">'0_Control_Panel'!$E$77</f>
        <v>0</v>
      </c>
      <c r="M21" s="42" t="n">
        <f aca="false">0</f>
        <v>0</v>
      </c>
      <c r="N21" s="16" t="n">
        <f aca="false">D21*M21</f>
        <v>0</v>
      </c>
      <c r="O21" s="16" t="n">
        <f aca="false">D21*L21</f>
        <v>0</v>
      </c>
      <c r="P21" s="20" t="n">
        <f aca="false">D21-N21-O21</f>
        <v>5500</v>
      </c>
      <c r="Q21" s="45" t="n">
        <f aca="false">0</f>
        <v>0</v>
      </c>
      <c r="R21" s="4" t="s">
        <v>424</v>
      </c>
    </row>
    <row r="22" customFormat="false" ht="15" hidden="false" customHeight="true" outlineLevel="0" collapsed="false">
      <c r="A22" s="8" t="s">
        <v>101</v>
      </c>
      <c r="B22" s="8" t="s">
        <v>417</v>
      </c>
      <c r="C22" s="8" t="s">
        <v>421</v>
      </c>
      <c r="D22" s="16" t="n">
        <f aca="false">'0_Control_Panel'!$B$55</f>
        <v>3200</v>
      </c>
      <c r="E22" s="12" t="n">
        <v>0</v>
      </c>
      <c r="F22" s="42" t="n">
        <f aca="false">$B$9*0</f>
        <v>0</v>
      </c>
      <c r="G22" s="42" t="n">
        <f aca="false">E22+F22</f>
        <v>0</v>
      </c>
      <c r="H22" s="10" t="n">
        <v>1</v>
      </c>
      <c r="I22" s="16" t="n">
        <f aca="false">P22*G22</f>
        <v>0</v>
      </c>
      <c r="J22" s="16" t="n">
        <f aca="false">IF(H22=1,I22,0)</f>
        <v>0</v>
      </c>
      <c r="K22" s="16" t="n">
        <f aca="false">IF(H22=2,I22,0)</f>
        <v>0</v>
      </c>
      <c r="L22" s="42" t="n">
        <f aca="false">'0_Control_Panel'!$E$77</f>
        <v>0</v>
      </c>
      <c r="M22" s="42" t="n">
        <f aca="false">0</f>
        <v>0</v>
      </c>
      <c r="N22" s="16" t="n">
        <f aca="false">D22*M22</f>
        <v>0</v>
      </c>
      <c r="O22" s="16" t="n">
        <f aca="false">D22*L22</f>
        <v>0</v>
      </c>
      <c r="P22" s="20" t="n">
        <f aca="false">D22-N22-O22</f>
        <v>3200</v>
      </c>
      <c r="Q22" s="45" t="n">
        <f aca="false">0</f>
        <v>0</v>
      </c>
      <c r="R22" s="4" t="s">
        <v>425</v>
      </c>
    </row>
    <row r="23" customFormat="false" ht="15" hidden="false" customHeight="true" outlineLevel="0" collapsed="false">
      <c r="A23" s="8" t="s">
        <v>426</v>
      </c>
      <c r="B23" s="8" t="s">
        <v>427</v>
      </c>
      <c r="C23" s="8" t="s">
        <v>421</v>
      </c>
      <c r="D23" s="16" t="n">
        <f aca="false">'0_Control_Panel'!$B$57</f>
        <v>22000</v>
      </c>
      <c r="E23" s="12" t="n">
        <v>0</v>
      </c>
      <c r="F23" s="42" t="n">
        <f aca="false">$B$9*0</f>
        <v>0</v>
      </c>
      <c r="G23" s="42" t="n">
        <f aca="false">E23+F23</f>
        <v>0</v>
      </c>
      <c r="H23" s="10" t="n">
        <v>1</v>
      </c>
      <c r="I23" s="16" t="n">
        <f aca="false">P23*G23</f>
        <v>0</v>
      </c>
      <c r="J23" s="16" t="n">
        <f aca="false">IF(H23=1,I23,0)</f>
        <v>0</v>
      </c>
      <c r="K23" s="16" t="n">
        <f aca="false">IF(H23=2,I23,0)</f>
        <v>0</v>
      </c>
      <c r="L23" s="42" t="n">
        <f aca="false">0</f>
        <v>0</v>
      </c>
      <c r="M23" s="42" t="n">
        <f aca="false">0</f>
        <v>0</v>
      </c>
      <c r="N23" s="16" t="n">
        <f aca="false">D23*M23</f>
        <v>0</v>
      </c>
      <c r="O23" s="16" t="n">
        <f aca="false">D23*L23</f>
        <v>0</v>
      </c>
      <c r="P23" s="20" t="n">
        <f aca="false">D23-N23-O23</f>
        <v>22000</v>
      </c>
      <c r="Q23" s="45" t="n">
        <f aca="false">0</f>
        <v>0</v>
      </c>
      <c r="R23" s="4" t="s">
        <v>428</v>
      </c>
    </row>
    <row r="24" customFormat="false" ht="15" hidden="false" customHeight="true" outlineLevel="0" collapsed="false">
      <c r="A24" s="54" t="s">
        <v>429</v>
      </c>
      <c r="B24" s="55"/>
      <c r="C24" s="55"/>
      <c r="D24" s="56" t="n">
        <f aca="false">SUM(D14:D23)</f>
        <v>265856</v>
      </c>
      <c r="E24" s="55"/>
      <c r="F24" s="55"/>
      <c r="G24" s="55"/>
      <c r="H24" s="55"/>
      <c r="I24" s="56" t="n">
        <f aca="false">SUM(I14:I23)</f>
        <v>11584.845</v>
      </c>
      <c r="J24" s="56" t="n">
        <f aca="false">SUM(J14:J23)</f>
        <v>3766.905</v>
      </c>
      <c r="K24" s="56" t="n">
        <f aca="false">SUM(K14:K23)</f>
        <v>7817.94</v>
      </c>
      <c r="L24" s="55"/>
      <c r="M24" s="55"/>
      <c r="N24" s="56" t="n">
        <f aca="false">SUM(N14:N23)</f>
        <v>42071.3</v>
      </c>
      <c r="O24" s="56" t="n">
        <f aca="false">SUM(O14:O23)</f>
        <v>0</v>
      </c>
      <c r="P24" s="56" t="n">
        <f aca="false">SUM(P14:P23)</f>
        <v>223784.7</v>
      </c>
      <c r="Q24" s="55"/>
      <c r="R24" s="55"/>
    </row>
    <row r="25" customFormat="false" ht="15" hidden="false" customHeight="true" outlineLevel="0" collapsed="false">
      <c r="A25" s="8" t="s">
        <v>430</v>
      </c>
      <c r="B25" s="3"/>
      <c r="C25" s="3"/>
      <c r="D25" s="16" t="n">
        <f aca="false">D14+D15</f>
        <v>194345</v>
      </c>
      <c r="E25" s="3"/>
      <c r="F25" s="3"/>
      <c r="G25" s="3"/>
      <c r="H25" s="3"/>
      <c r="I25" s="3"/>
      <c r="J25" s="3"/>
      <c r="K25" s="3"/>
      <c r="L25" s="3"/>
      <c r="M25" s="3"/>
      <c r="N25" s="16" t="n">
        <f aca="false">N14+N15</f>
        <v>42071.3</v>
      </c>
      <c r="O25" s="16" t="n">
        <f aca="false">O14+O15</f>
        <v>0</v>
      </c>
      <c r="P25" s="16" t="n">
        <f aca="false">P14+P15</f>
        <v>152273.7</v>
      </c>
      <c r="Q25" s="3"/>
      <c r="R25" s="3"/>
    </row>
    <row r="26" customFormat="false" ht="15" hidden="false" customHeight="true" outlineLevel="0" collapsed="false">
      <c r="A26" s="8" t="s">
        <v>431</v>
      </c>
      <c r="B26" s="3"/>
      <c r="C26" s="3"/>
      <c r="D26" s="16" t="n">
        <f aca="false">D16+D17+D18</f>
        <v>18511</v>
      </c>
      <c r="E26" s="3"/>
      <c r="F26" s="3"/>
      <c r="G26" s="3"/>
      <c r="H26" s="3"/>
      <c r="I26" s="3"/>
      <c r="J26" s="3"/>
      <c r="K26" s="3"/>
      <c r="L26" s="3"/>
      <c r="M26" s="3"/>
      <c r="N26" s="16" t="n">
        <f aca="false">N16+N17+N18</f>
        <v>0</v>
      </c>
      <c r="O26" s="16" t="n">
        <f aca="false">O16+O17+O18</f>
        <v>0</v>
      </c>
      <c r="P26" s="16" t="n">
        <f aca="false">P16+P17+P18</f>
        <v>18511</v>
      </c>
      <c r="Q26" s="3"/>
      <c r="R26" s="3"/>
    </row>
    <row r="27" customFormat="false" ht="15" hidden="false" customHeight="true" outlineLevel="0" collapsed="false">
      <c r="A27" s="8" t="s">
        <v>432</v>
      </c>
      <c r="B27" s="3"/>
      <c r="C27" s="3"/>
      <c r="D27" s="16" t="n">
        <f aca="false">D19+D20+D21+D22+D23</f>
        <v>53000</v>
      </c>
      <c r="E27" s="3"/>
      <c r="F27" s="3"/>
      <c r="G27" s="3"/>
      <c r="H27" s="3"/>
      <c r="I27" s="3"/>
      <c r="J27" s="3"/>
      <c r="K27" s="3"/>
      <c r="L27" s="3"/>
      <c r="M27" s="3"/>
      <c r="N27" s="16" t="n">
        <f aca="false">N19+N20+N21+N22+N23</f>
        <v>0</v>
      </c>
      <c r="O27" s="16" t="n">
        <f aca="false">O19+O20+O21+O22+O23</f>
        <v>0</v>
      </c>
      <c r="P27" s="16" t="n">
        <f aca="false">P19+P20+P21+P22+P23</f>
        <v>53000</v>
      </c>
      <c r="Q27" s="3"/>
      <c r="R27" s="3"/>
    </row>
    <row r="28" customFormat="false" ht="15" hidden="false" customHeight="true" outlineLevel="0" collapsed="false">
      <c r="A28" s="8" t="s">
        <v>433</v>
      </c>
      <c r="B28" s="3"/>
      <c r="C28" s="3"/>
      <c r="D28" s="42" t="n">
        <f aca="false">D25/D24</f>
        <v>0.731016038757824</v>
      </c>
      <c r="E28" s="3"/>
      <c r="F28" s="3"/>
      <c r="G28" s="3"/>
      <c r="H28" s="3"/>
      <c r="I28" s="3"/>
      <c r="J28" s="3"/>
      <c r="K28" s="3"/>
      <c r="L28" s="3"/>
      <c r="M28" s="3"/>
      <c r="N28" s="3"/>
      <c r="O28" s="3"/>
      <c r="P28" s="42" t="n">
        <f aca="false">P25/P24</f>
        <v>0.680447322806251</v>
      </c>
      <c r="Q28" s="3"/>
      <c r="R28" s="3"/>
    </row>
    <row r="29" customFormat="false" ht="15" hidden="false" customHeight="true" outlineLevel="0" collapsed="false">
      <c r="A29" s="8" t="s">
        <v>434</v>
      </c>
      <c r="B29" s="3"/>
      <c r="C29" s="3"/>
      <c r="D29" s="3"/>
      <c r="E29" s="3"/>
      <c r="F29" s="3"/>
      <c r="G29" s="3"/>
      <c r="H29" s="3"/>
      <c r="I29" s="3"/>
      <c r="J29" s="3"/>
      <c r="K29" s="3"/>
      <c r="L29" s="3"/>
      <c r="M29" s="3"/>
      <c r="N29" s="3"/>
      <c r="O29" s="20" t="n">
        <f aca="false">O16+O18+O21+O22</f>
        <v>0</v>
      </c>
      <c r="P29" s="3"/>
      <c r="Q29" s="3"/>
      <c r="R29" s="3"/>
    </row>
    <row r="30" customFormat="false" ht="15" hidden="false" customHeight="true" outlineLevel="0" collapsed="false">
      <c r="A30" s="8" t="s">
        <v>435</v>
      </c>
      <c r="B30" s="3"/>
      <c r="C30" s="3"/>
      <c r="D30" s="3"/>
      <c r="E30" s="3"/>
      <c r="F30" s="3"/>
      <c r="G30" s="3"/>
      <c r="H30" s="3"/>
      <c r="I30" s="3"/>
      <c r="J30" s="3"/>
      <c r="K30" s="3"/>
      <c r="L30" s="3"/>
      <c r="M30" s="3"/>
      <c r="N30" s="3"/>
      <c r="O30" s="57" t="n">
        <f aca="false">IFERROR(O16/D24,0)</f>
        <v>0</v>
      </c>
      <c r="P30" s="3"/>
      <c r="Q30" s="3"/>
      <c r="R30" s="3"/>
    </row>
    <row r="31" customFormat="false" ht="15" hidden="false" customHeight="true" outlineLevel="0" collapsed="false">
      <c r="A31" s="3"/>
      <c r="B31" s="3"/>
      <c r="C31" s="3"/>
      <c r="D31" s="3"/>
      <c r="E31" s="3"/>
      <c r="F31" s="3"/>
      <c r="G31" s="3"/>
      <c r="H31" s="3"/>
      <c r="I31" s="3"/>
      <c r="J31" s="3"/>
      <c r="K31" s="3"/>
      <c r="L31" s="3"/>
      <c r="M31" s="3"/>
      <c r="N31" s="3"/>
      <c r="O31" s="3"/>
      <c r="P31" s="3"/>
      <c r="Q31" s="3"/>
      <c r="R31" s="3"/>
    </row>
    <row r="32" customFormat="false" ht="15" hidden="false" customHeight="true" outlineLevel="0" collapsed="false">
      <c r="A32" s="5" t="s">
        <v>436</v>
      </c>
      <c r="B32" s="5" t="s">
        <v>437</v>
      </c>
      <c r="C32" s="5" t="s">
        <v>438</v>
      </c>
      <c r="D32" s="5" t="s">
        <v>439</v>
      </c>
      <c r="E32" s="5"/>
      <c r="F32" s="5"/>
      <c r="G32" s="3"/>
      <c r="H32" s="3"/>
      <c r="I32" s="3"/>
      <c r="J32" s="3"/>
      <c r="K32" s="3"/>
      <c r="L32" s="3"/>
      <c r="M32" s="3"/>
      <c r="N32" s="3"/>
      <c r="O32" s="3"/>
      <c r="P32" s="3"/>
      <c r="Q32" s="3"/>
      <c r="R32" s="3"/>
    </row>
    <row r="33" customFormat="false" ht="15" hidden="false" customHeight="true" outlineLevel="0" collapsed="false">
      <c r="A33" s="8" t="s">
        <v>440</v>
      </c>
      <c r="B33" s="16" t="n">
        <f aca="false">'0_Control_Panel'!$B$40</f>
        <v>10834.3037974684</v>
      </c>
      <c r="C33" s="3"/>
      <c r="D33" s="3"/>
      <c r="E33" s="3"/>
      <c r="F33" s="3"/>
      <c r="G33" s="3"/>
      <c r="H33" s="3"/>
      <c r="I33" s="3"/>
      <c r="J33" s="3"/>
      <c r="K33" s="3"/>
      <c r="L33" s="3"/>
      <c r="M33" s="3"/>
      <c r="N33" s="3"/>
      <c r="O33" s="3"/>
      <c r="P33" s="3"/>
      <c r="Q33" s="3"/>
      <c r="R33" s="3"/>
    </row>
    <row r="34" customFormat="false" ht="15" hidden="false" customHeight="true" outlineLevel="0" collapsed="false">
      <c r="A34" s="8" t="s">
        <v>441</v>
      </c>
      <c r="B34" s="16" t="n">
        <f aca="false">B33*'0_Control_Panel'!$B$37</f>
        <v>5307.72543037975</v>
      </c>
      <c r="C34" s="42" t="n">
        <f aca="false">B34/B33</f>
        <v>0.4899</v>
      </c>
      <c r="D34" s="42" t="n">
        <f aca="false">(B34+B36)/B38</f>
        <v>0.584040395011661</v>
      </c>
      <c r="E34" s="3"/>
      <c r="F34" s="3"/>
      <c r="G34" s="3"/>
      <c r="H34" s="3"/>
      <c r="I34" s="3"/>
      <c r="J34" s="3"/>
      <c r="K34" s="3"/>
      <c r="L34" s="3"/>
      <c r="M34" s="3"/>
      <c r="N34" s="3"/>
      <c r="O34" s="3"/>
      <c r="P34" s="3"/>
      <c r="Q34" s="3"/>
      <c r="R34" s="3"/>
    </row>
    <row r="35" customFormat="false" ht="15" hidden="false" customHeight="true" outlineLevel="0" collapsed="false">
      <c r="A35" s="8" t="s">
        <v>442</v>
      </c>
      <c r="B35" s="16" t="n">
        <f aca="false">B33-B34</f>
        <v>5526.57836708861</v>
      </c>
      <c r="C35" s="42" t="n">
        <f aca="false">B35/B33</f>
        <v>0.5101</v>
      </c>
      <c r="D35" s="42" t="n">
        <f aca="false">B35/B38</f>
        <v>0.339232165553619</v>
      </c>
      <c r="E35" s="3"/>
      <c r="F35" s="3"/>
      <c r="G35" s="3"/>
      <c r="H35" s="3"/>
      <c r="I35" s="3"/>
      <c r="J35" s="3"/>
      <c r="K35" s="3"/>
      <c r="L35" s="3"/>
      <c r="M35" s="3"/>
      <c r="N35" s="3"/>
      <c r="O35" s="3"/>
      <c r="P35" s="3"/>
      <c r="Q35" s="3"/>
      <c r="R35" s="3"/>
    </row>
    <row r="36" customFormat="false" ht="15" hidden="false" customHeight="true" outlineLevel="0" collapsed="false">
      <c r="A36" s="8" t="s">
        <v>443</v>
      </c>
      <c r="B36" s="16" t="n">
        <f aca="false">(N14+N15)/'0_Control_Panel'!$E$71</f>
        <v>4207.13</v>
      </c>
      <c r="C36" s="3"/>
      <c r="D36" s="3"/>
      <c r="E36" s="3"/>
      <c r="F36" s="3"/>
      <c r="G36" s="3"/>
      <c r="H36" s="3"/>
      <c r="I36" s="3"/>
      <c r="J36" s="3"/>
      <c r="K36" s="3"/>
      <c r="L36" s="3"/>
      <c r="M36" s="3"/>
      <c r="N36" s="3"/>
      <c r="O36" s="3"/>
      <c r="P36" s="3"/>
      <c r="Q36" s="3"/>
      <c r="R36" s="3"/>
    </row>
    <row r="37" customFormat="false" ht="15" hidden="false" customHeight="true" outlineLevel="0" collapsed="false">
      <c r="A37" s="8" t="s">
        <v>444</v>
      </c>
      <c r="B37" s="16" t="n">
        <f aca="false">'0_Control_Panel'!$E$81/'0_Control_Panel'!$E$82</f>
        <v>1250</v>
      </c>
      <c r="C37" s="3"/>
      <c r="D37" s="42" t="n">
        <f aca="false">B37/B38</f>
        <v>0.0767274394347198</v>
      </c>
      <c r="E37" s="3"/>
      <c r="F37" s="3"/>
      <c r="G37" s="3"/>
      <c r="H37" s="3"/>
      <c r="I37" s="3"/>
      <c r="J37" s="3"/>
      <c r="K37" s="3"/>
      <c r="L37" s="3"/>
      <c r="M37" s="3"/>
      <c r="N37" s="3"/>
      <c r="O37" s="3"/>
      <c r="P37" s="3"/>
      <c r="Q37" s="3"/>
      <c r="R37" s="3"/>
    </row>
    <row r="38" customFormat="false" ht="15" hidden="false" customHeight="true" outlineLevel="0" collapsed="false">
      <c r="A38" s="6" t="s">
        <v>445</v>
      </c>
      <c r="B38" s="20" t="n">
        <f aca="false">B33+B36+B37</f>
        <v>16291.4337974684</v>
      </c>
      <c r="C38" s="3"/>
      <c r="D38" s="3"/>
      <c r="E38" s="3"/>
      <c r="F38" s="3"/>
      <c r="G38" s="3"/>
      <c r="H38" s="3"/>
      <c r="I38" s="3"/>
      <c r="J38" s="3"/>
      <c r="K38" s="3"/>
      <c r="L38" s="3"/>
      <c r="M38" s="3"/>
      <c r="N38" s="3"/>
      <c r="O38" s="3"/>
      <c r="P38" s="3"/>
      <c r="Q38" s="3"/>
      <c r="R38" s="3"/>
    </row>
    <row r="39" customFormat="false" ht="15" hidden="false" customHeight="true" outlineLevel="0" collapsed="false">
      <c r="A39" s="6" t="s">
        <v>446</v>
      </c>
      <c r="B39" s="13" t="n">
        <f aca="false">(B34+B36)/B38</f>
        <v>0.584040395011661</v>
      </c>
      <c r="C39" s="3"/>
      <c r="D39" s="3"/>
      <c r="E39" s="3"/>
      <c r="F39" s="3"/>
      <c r="G39" s="3"/>
      <c r="H39" s="3"/>
      <c r="I39" s="3"/>
      <c r="J39" s="3"/>
      <c r="K39" s="3"/>
      <c r="L39" s="3"/>
      <c r="M39" s="3"/>
      <c r="N39" s="3"/>
      <c r="O39" s="3"/>
      <c r="P39" s="3"/>
      <c r="Q39" s="3"/>
      <c r="R39" s="3"/>
    </row>
    <row r="40" customFormat="false" ht="15" hidden="false" customHeight="true" outlineLevel="0" collapsed="false">
      <c r="A40" s="8" t="s">
        <v>447</v>
      </c>
      <c r="B40" s="42" t="n">
        <f aca="false">'0_Control_Panel'!$E$88</f>
        <v>0.49</v>
      </c>
      <c r="C40" s="3"/>
      <c r="D40" s="3"/>
      <c r="E40" s="3"/>
      <c r="F40" s="3"/>
      <c r="G40" s="3"/>
      <c r="H40" s="3"/>
      <c r="I40" s="3"/>
      <c r="J40" s="3"/>
      <c r="K40" s="3"/>
      <c r="L40" s="3"/>
      <c r="M40" s="3"/>
      <c r="N40" s="3"/>
      <c r="O40" s="3"/>
      <c r="P40" s="3"/>
      <c r="Q40" s="3"/>
      <c r="R40" s="3"/>
    </row>
    <row r="41" customFormat="false" ht="15" hidden="false" customHeight="true" outlineLevel="0" collapsed="false">
      <c r="A41" s="8" t="s">
        <v>448</v>
      </c>
      <c r="B41" s="16" t="n">
        <f aca="false">MAX(0,(B34+B36)-B40*B38)</f>
        <v>1532.05286962025</v>
      </c>
      <c r="C41" s="3"/>
      <c r="D41" s="3"/>
      <c r="E41" s="3"/>
      <c r="F41" s="3"/>
      <c r="G41" s="3"/>
      <c r="H41" s="3"/>
      <c r="I41" s="3"/>
      <c r="J41" s="3"/>
      <c r="K41" s="3"/>
      <c r="L41" s="3"/>
      <c r="M41" s="3"/>
      <c r="N41" s="3"/>
      <c r="O41" s="3"/>
      <c r="P41" s="3"/>
      <c r="Q41" s="3"/>
      <c r="R41" s="3"/>
    </row>
    <row r="42" customFormat="false" ht="15" hidden="false" customHeight="true" outlineLevel="0" collapsed="false">
      <c r="A42" s="8" t="s">
        <v>449</v>
      </c>
      <c r="B42" s="42" t="n">
        <f aca="false">1-(B35/B38)/(B35/B33)</f>
        <v>0.334969289249914</v>
      </c>
      <c r="C42" s="3"/>
      <c r="D42" s="3"/>
      <c r="E42" s="3"/>
      <c r="F42" s="3"/>
      <c r="G42" s="3"/>
      <c r="H42" s="3"/>
      <c r="I42" s="3"/>
      <c r="J42" s="3"/>
      <c r="K42" s="3"/>
      <c r="L42" s="3"/>
      <c r="M42" s="3"/>
      <c r="N42" s="3"/>
      <c r="O42" s="3"/>
      <c r="P42" s="3"/>
      <c r="Q42" s="3"/>
      <c r="R42" s="3"/>
    </row>
    <row r="43" customFormat="false" ht="15" hidden="false" customHeight="true" outlineLevel="0" collapsed="false">
      <c r="A43" s="3"/>
      <c r="B43" s="3"/>
      <c r="C43" s="3"/>
      <c r="D43" s="3"/>
      <c r="E43" s="3"/>
      <c r="F43" s="3"/>
      <c r="G43" s="3"/>
      <c r="H43" s="3"/>
      <c r="I43" s="3"/>
      <c r="J43" s="3"/>
      <c r="K43" s="3"/>
      <c r="L43" s="3"/>
      <c r="M43" s="3"/>
      <c r="N43" s="3"/>
      <c r="O43" s="3"/>
      <c r="P43" s="3"/>
      <c r="Q43" s="3"/>
      <c r="R43" s="3"/>
    </row>
    <row r="44" customFormat="false" ht="15" hidden="false" customHeight="true" outlineLevel="0" collapsed="false">
      <c r="A44" s="5" t="s">
        <v>450</v>
      </c>
      <c r="B44" s="5"/>
      <c r="C44" s="5"/>
      <c r="D44" s="5"/>
      <c r="E44" s="5"/>
      <c r="F44" s="5"/>
      <c r="G44" s="5"/>
      <c r="H44" s="5"/>
      <c r="I44" s="3"/>
      <c r="J44" s="3"/>
      <c r="K44" s="3"/>
      <c r="L44" s="3"/>
      <c r="M44" s="3"/>
      <c r="N44" s="3"/>
      <c r="O44" s="3"/>
      <c r="P44" s="3"/>
      <c r="Q44" s="3"/>
      <c r="R44" s="3"/>
    </row>
    <row r="45" customFormat="false" ht="15" hidden="false" customHeight="true" outlineLevel="0" collapsed="false">
      <c r="A45" s="3"/>
      <c r="B45" s="3"/>
      <c r="C45" s="21" t="s">
        <v>451</v>
      </c>
      <c r="D45" s="21" t="s">
        <v>452</v>
      </c>
      <c r="E45" s="21" t="s">
        <v>453</v>
      </c>
      <c r="F45" s="21" t="s">
        <v>454</v>
      </c>
      <c r="G45" s="21" t="s">
        <v>455</v>
      </c>
      <c r="H45" s="21" t="s">
        <v>456</v>
      </c>
      <c r="I45" s="3"/>
      <c r="J45" s="3"/>
      <c r="K45" s="3"/>
      <c r="L45" s="3"/>
      <c r="M45" s="3"/>
      <c r="N45" s="3"/>
      <c r="O45" s="3"/>
      <c r="P45" s="3"/>
      <c r="Q45" s="3"/>
      <c r="R45" s="3"/>
    </row>
    <row r="46" customFormat="false" ht="15" hidden="false" customHeight="true" outlineLevel="0" collapsed="false">
      <c r="A46" s="8" t="s">
        <v>457</v>
      </c>
      <c r="B46" s="3"/>
      <c r="C46" s="10" t="n">
        <v>0</v>
      </c>
      <c r="D46" s="45" t="n">
        <f aca="false">C46+1</f>
        <v>1</v>
      </c>
      <c r="E46" s="45" t="n">
        <f aca="false">D46+1</f>
        <v>2</v>
      </c>
      <c r="F46" s="45" t="n">
        <f aca="false">E46+1</f>
        <v>3</v>
      </c>
      <c r="G46" s="45" t="n">
        <f aca="false">F46+1</f>
        <v>4</v>
      </c>
      <c r="H46" s="45" t="n">
        <f aca="false">G46+1</f>
        <v>5</v>
      </c>
      <c r="I46" s="3"/>
      <c r="J46" s="3"/>
      <c r="K46" s="3"/>
      <c r="L46" s="3"/>
      <c r="M46" s="3"/>
      <c r="N46" s="3"/>
      <c r="O46" s="3"/>
      <c r="P46" s="3"/>
      <c r="Q46" s="3"/>
      <c r="R46" s="3"/>
    </row>
    <row r="47" customFormat="false" ht="15" hidden="false" customHeight="true" outlineLevel="0" collapsed="false">
      <c r="A47" s="3"/>
      <c r="B47" s="3"/>
      <c r="C47" s="3"/>
      <c r="D47" s="3"/>
      <c r="E47" s="3"/>
      <c r="F47" s="3"/>
      <c r="G47" s="3"/>
      <c r="H47" s="3"/>
      <c r="I47" s="3"/>
      <c r="J47" s="3"/>
      <c r="K47" s="3"/>
      <c r="L47" s="3"/>
      <c r="M47" s="3"/>
      <c r="N47" s="3"/>
      <c r="O47" s="3"/>
      <c r="P47" s="3"/>
      <c r="Q47" s="3"/>
      <c r="R47" s="3"/>
    </row>
    <row r="48" customFormat="false" ht="15" hidden="false" customHeight="true" outlineLevel="0" collapsed="false">
      <c r="A48" s="5" t="s">
        <v>458</v>
      </c>
      <c r="B48" s="5"/>
      <c r="C48" s="5"/>
      <c r="D48" s="5"/>
      <c r="E48" s="5"/>
      <c r="F48" s="5"/>
      <c r="G48" s="5"/>
      <c r="H48" s="5"/>
      <c r="I48" s="3"/>
      <c r="J48" s="3"/>
      <c r="K48" s="3"/>
      <c r="L48" s="3"/>
      <c r="M48" s="3"/>
      <c r="N48" s="3"/>
      <c r="O48" s="3"/>
      <c r="P48" s="3"/>
      <c r="Q48" s="3"/>
      <c r="R48" s="3"/>
    </row>
    <row r="49" customFormat="false" ht="15" hidden="false" customHeight="true" outlineLevel="0" collapsed="false">
      <c r="A49" s="8" t="s">
        <v>459</v>
      </c>
      <c r="B49" s="3"/>
      <c r="C49" s="3"/>
      <c r="D49" s="16" t="n">
        <f aca="false">'0_Control_Panel'!$B$42</f>
        <v>7076</v>
      </c>
      <c r="E49" s="16" t="n">
        <f aca="false">'0_Control_Panel'!$B$43</f>
        <v>15000</v>
      </c>
      <c r="F49" s="16" t="n">
        <f aca="false">'0_Control_Panel'!$B$44</f>
        <v>27000</v>
      </c>
      <c r="G49" s="16" t="n">
        <f aca="false">'0_Control_Panel'!$B$45</f>
        <v>18000</v>
      </c>
      <c r="H49" s="16" t="n">
        <f aca="false">'0_Control_Panel'!$B$46</f>
        <v>18000</v>
      </c>
      <c r="I49" s="3"/>
      <c r="J49" s="3"/>
      <c r="K49" s="3"/>
      <c r="L49" s="3"/>
      <c r="M49" s="3"/>
      <c r="N49" s="3"/>
      <c r="O49" s="3"/>
      <c r="P49" s="3"/>
      <c r="Q49" s="3"/>
      <c r="R49" s="3"/>
    </row>
    <row r="50" customFormat="false" ht="15" hidden="false" customHeight="true" outlineLevel="0" collapsed="false">
      <c r="A50" s="8" t="s">
        <v>460</v>
      </c>
      <c r="B50" s="3"/>
      <c r="C50" s="16" t="n">
        <f aca="false">D14</f>
        <v>130299</v>
      </c>
      <c r="D50" s="16" t="n">
        <f aca="false">$P$14</f>
        <v>104239.2</v>
      </c>
      <c r="E50" s="16" t="n">
        <f aca="false">D54</f>
        <v>112057.14</v>
      </c>
      <c r="F50" s="16" t="n">
        <f aca="false">E54</f>
        <v>120461.4255</v>
      </c>
      <c r="G50" s="16" t="n">
        <f aca="false">F54</f>
        <v>129496.0324125</v>
      </c>
      <c r="H50" s="16" t="n">
        <f aca="false">G54</f>
        <v>139208.234843438</v>
      </c>
      <c r="I50" s="3"/>
      <c r="J50" s="3"/>
      <c r="K50" s="3"/>
      <c r="L50" s="3"/>
      <c r="M50" s="3"/>
      <c r="N50" s="3"/>
      <c r="O50" s="3"/>
      <c r="P50" s="3"/>
      <c r="Q50" s="3"/>
      <c r="R50" s="3"/>
    </row>
    <row r="51" customFormat="false" ht="15" hidden="false" customHeight="true" outlineLevel="0" collapsed="false">
      <c r="A51" s="8" t="s">
        <v>461</v>
      </c>
      <c r="B51" s="3"/>
      <c r="C51" s="3"/>
      <c r="D51" s="16" t="n">
        <f aca="false">D50*$G$14</f>
        <v>7817.94</v>
      </c>
      <c r="E51" s="16" t="n">
        <f aca="false">E50*$G$14</f>
        <v>8404.2855</v>
      </c>
      <c r="F51" s="16" t="n">
        <f aca="false">F50*$G$14</f>
        <v>9034.6069125</v>
      </c>
      <c r="G51" s="16" t="n">
        <f aca="false">G50*$G$14</f>
        <v>9712.2024309375</v>
      </c>
      <c r="H51" s="16" t="n">
        <f aca="false">H50*$G$14</f>
        <v>10440.6176132578</v>
      </c>
      <c r="I51" s="3"/>
      <c r="J51" s="3"/>
      <c r="K51" s="3"/>
      <c r="L51" s="3"/>
      <c r="M51" s="3"/>
      <c r="N51" s="3"/>
      <c r="O51" s="3"/>
      <c r="P51" s="3"/>
      <c r="Q51" s="3"/>
      <c r="R51" s="3"/>
    </row>
    <row r="52" customFormat="false" ht="15" hidden="false" customHeight="true" outlineLevel="0" collapsed="false">
      <c r="A52" s="6" t="s">
        <v>462</v>
      </c>
      <c r="B52" s="3"/>
      <c r="C52" s="3"/>
      <c r="D52" s="20" t="n">
        <f aca="false">IF(D$46&lt;='0_Control_Panel'!$E$72,IF($H$14=1,D51,0),D49*(1-'0_Control_Panel'!$E$70))</f>
        <v>0</v>
      </c>
      <c r="E52" s="20" t="n">
        <f aca="false">IF(E$46&lt;='0_Control_Panel'!$E$72,IF($H$14=1,E51,0),E49*(1-'0_Control_Panel'!$E$70))</f>
        <v>0</v>
      </c>
      <c r="F52" s="20" t="n">
        <f aca="false">IF(F$46&lt;='0_Control_Panel'!$E$72,IF($H$14=1,F51,0),F49*(1-'0_Control_Panel'!$E$70))</f>
        <v>0</v>
      </c>
      <c r="G52" s="20" t="n">
        <f aca="false">IF(G$46&lt;='0_Control_Panel'!$E$72,IF($H$14=1,G51,0),G49*(1-'0_Control_Panel'!$E$70))</f>
        <v>0</v>
      </c>
      <c r="H52" s="20" t="n">
        <f aca="false">IF(H$46&lt;='0_Control_Panel'!$E$72,IF($H$14=1,H51,0),H49*(1-'0_Control_Panel'!$E$70))</f>
        <v>14400</v>
      </c>
      <c r="I52" s="3"/>
      <c r="J52" s="3"/>
      <c r="K52" s="3"/>
      <c r="L52" s="3"/>
      <c r="M52" s="3"/>
      <c r="N52" s="3"/>
      <c r="O52" s="3"/>
      <c r="P52" s="3"/>
      <c r="Q52" s="3"/>
      <c r="R52" s="3"/>
    </row>
    <row r="53" customFormat="false" ht="15" hidden="false" customHeight="true" outlineLevel="0" collapsed="false">
      <c r="A53" s="8" t="s">
        <v>463</v>
      </c>
      <c r="B53" s="3"/>
      <c r="C53" s="3"/>
      <c r="D53" s="16" t="n">
        <f aca="false">MAX(0,D51-D52)</f>
        <v>7817.94</v>
      </c>
      <c r="E53" s="16" t="n">
        <f aca="false">MAX(0,E51-E52)</f>
        <v>8404.2855</v>
      </c>
      <c r="F53" s="16" t="n">
        <f aca="false">MAX(0,F51-F52)</f>
        <v>9034.6069125</v>
      </c>
      <c r="G53" s="16" t="n">
        <f aca="false">MAX(0,G51-G52)</f>
        <v>9712.2024309375</v>
      </c>
      <c r="H53" s="16" t="n">
        <f aca="false">MAX(0,H51-H52)</f>
        <v>0</v>
      </c>
      <c r="I53" s="3"/>
      <c r="J53" s="3"/>
      <c r="K53" s="3"/>
      <c r="L53" s="3"/>
      <c r="M53" s="3"/>
      <c r="N53" s="3"/>
      <c r="O53" s="3"/>
      <c r="P53" s="3"/>
      <c r="Q53" s="3"/>
      <c r="R53" s="3"/>
    </row>
    <row r="54" customFormat="false" ht="15" hidden="false" customHeight="true" outlineLevel="0" collapsed="false">
      <c r="A54" s="6" t="s">
        <v>464</v>
      </c>
      <c r="B54" s="3"/>
      <c r="C54" s="20" t="n">
        <f aca="false">D14</f>
        <v>130299</v>
      </c>
      <c r="D54" s="20" t="n">
        <f aca="false">D50+D51-D52</f>
        <v>112057.14</v>
      </c>
      <c r="E54" s="20" t="n">
        <f aca="false">E50+E51-E52</f>
        <v>120461.4255</v>
      </c>
      <c r="F54" s="20" t="n">
        <f aca="false">F50+F51-F52</f>
        <v>129496.0324125</v>
      </c>
      <c r="G54" s="20" t="n">
        <f aca="false">G50+G51-G52</f>
        <v>139208.234843438</v>
      </c>
      <c r="H54" s="20" t="n">
        <f aca="false">H50+H51-H52</f>
        <v>135248.852456695</v>
      </c>
      <c r="I54" s="3"/>
      <c r="J54" s="3"/>
      <c r="K54" s="3"/>
      <c r="L54" s="3"/>
      <c r="M54" s="3"/>
      <c r="N54" s="3"/>
      <c r="O54" s="3"/>
      <c r="P54" s="3"/>
      <c r="Q54" s="3"/>
      <c r="R54" s="3"/>
    </row>
    <row r="55" customFormat="false" ht="15" hidden="false" customHeight="true" outlineLevel="0" collapsed="false">
      <c r="A55" s="3"/>
      <c r="B55" s="3"/>
      <c r="C55" s="3"/>
      <c r="D55" s="3"/>
      <c r="E55" s="3"/>
      <c r="F55" s="3"/>
      <c r="G55" s="3"/>
      <c r="H55" s="3"/>
      <c r="I55" s="3"/>
      <c r="J55" s="3"/>
      <c r="K55" s="3"/>
      <c r="L55" s="3"/>
      <c r="M55" s="3"/>
      <c r="N55" s="3"/>
      <c r="O55" s="3"/>
      <c r="P55" s="3"/>
      <c r="Q55" s="3"/>
      <c r="R55" s="3"/>
    </row>
    <row r="56" customFormat="false" ht="15" hidden="false" customHeight="true" outlineLevel="0" collapsed="false">
      <c r="A56" s="5" t="s">
        <v>465</v>
      </c>
      <c r="B56" s="5"/>
      <c r="C56" s="5"/>
      <c r="D56" s="5"/>
      <c r="E56" s="5"/>
      <c r="F56" s="5"/>
      <c r="G56" s="5"/>
      <c r="H56" s="5"/>
      <c r="I56" s="3"/>
      <c r="J56" s="3"/>
      <c r="K56" s="3"/>
      <c r="L56" s="3"/>
      <c r="M56" s="3"/>
      <c r="N56" s="3"/>
      <c r="O56" s="3"/>
      <c r="P56" s="3"/>
      <c r="Q56" s="3"/>
      <c r="R56" s="3"/>
    </row>
    <row r="57" customFormat="false" ht="15" hidden="false" customHeight="true" outlineLevel="0" collapsed="false">
      <c r="A57" s="8" t="s">
        <v>466</v>
      </c>
      <c r="B57" s="3"/>
      <c r="C57" s="16" t="n">
        <f aca="false">'0_Control_Panel'!$B$27</f>
        <v>25759</v>
      </c>
      <c r="D57" s="16" t="n">
        <f aca="false">$C57*(1-$M$15)</f>
        <v>19319.25</v>
      </c>
      <c r="E57" s="16" t="n">
        <f aca="false">D60</f>
        <v>20482.00125</v>
      </c>
      <c r="F57" s="16" t="n">
        <f aca="false">E60</f>
        <v>21720.33133125</v>
      </c>
      <c r="G57" s="16" t="n">
        <f aca="false">F60</f>
        <v>23039.1528677813</v>
      </c>
      <c r="H57" s="16" t="n">
        <f aca="false">G60</f>
        <v>24443.697804187</v>
      </c>
      <c r="I57" s="3"/>
      <c r="J57" s="3"/>
      <c r="K57" s="3"/>
      <c r="L57" s="3"/>
      <c r="M57" s="3"/>
      <c r="N57" s="3"/>
      <c r="O57" s="3"/>
      <c r="P57" s="3"/>
      <c r="Q57" s="3"/>
      <c r="R57" s="3"/>
    </row>
    <row r="58" customFormat="false" ht="15" hidden="false" customHeight="true" outlineLevel="0" collapsed="false">
      <c r="A58" s="8" t="s">
        <v>467</v>
      </c>
      <c r="B58" s="3"/>
      <c r="C58" s="3"/>
      <c r="D58" s="16" t="n">
        <f aca="false">D57*$B$64</f>
        <v>1255.75125</v>
      </c>
      <c r="E58" s="16" t="n">
        <f aca="false">E57*$B$64</f>
        <v>1331.33008125</v>
      </c>
      <c r="F58" s="16" t="n">
        <f aca="false">F57*$B$64</f>
        <v>1411.82153653125</v>
      </c>
      <c r="G58" s="16" t="n">
        <f aca="false">G57*$B$64</f>
        <v>1497.54493640578</v>
      </c>
      <c r="H58" s="16" t="n">
        <f aca="false">H57*$B$64</f>
        <v>1588.84035727216</v>
      </c>
      <c r="I58" s="3"/>
      <c r="J58" s="3"/>
      <c r="K58" s="3"/>
      <c r="L58" s="3"/>
      <c r="M58" s="3"/>
      <c r="N58" s="3"/>
      <c r="O58" s="3"/>
      <c r="P58" s="3"/>
      <c r="Q58" s="3"/>
      <c r="R58" s="3"/>
    </row>
    <row r="59" customFormat="false" ht="15" hidden="false" customHeight="true" outlineLevel="0" collapsed="false">
      <c r="A59" s="6" t="s">
        <v>462</v>
      </c>
      <c r="B59" s="3"/>
      <c r="C59" s="3"/>
      <c r="D59" s="20" t="n">
        <f aca="false">'0_Control_Panel'!$B$47*(1-$M$15)</f>
        <v>93</v>
      </c>
      <c r="E59" s="20" t="n">
        <f aca="false">'0_Control_Panel'!$B$47*(1-$M$15)</f>
        <v>93</v>
      </c>
      <c r="F59" s="20" t="n">
        <f aca="false">'0_Control_Panel'!$B$47*(1-$M$15)</f>
        <v>93</v>
      </c>
      <c r="G59" s="20" t="n">
        <f aca="false">'0_Control_Panel'!$B$47*(1-$M$15)</f>
        <v>93</v>
      </c>
      <c r="H59" s="20" t="n">
        <f aca="false">'0_Control_Panel'!$B$47*(1-$M$15)</f>
        <v>93</v>
      </c>
      <c r="I59" s="3"/>
      <c r="J59" s="3"/>
      <c r="K59" s="3"/>
      <c r="L59" s="3"/>
      <c r="M59" s="3"/>
      <c r="N59" s="3"/>
      <c r="O59" s="3"/>
      <c r="P59" s="3"/>
      <c r="Q59" s="3"/>
      <c r="R59" s="3"/>
    </row>
    <row r="60" customFormat="false" ht="15" hidden="false" customHeight="true" outlineLevel="0" collapsed="false">
      <c r="A60" s="6" t="s">
        <v>468</v>
      </c>
      <c r="B60" s="3"/>
      <c r="C60" s="20" t="n">
        <f aca="false">'0_Control_Panel'!$B$27</f>
        <v>25759</v>
      </c>
      <c r="D60" s="20" t="n">
        <f aca="false">D57+D58-D59</f>
        <v>20482.00125</v>
      </c>
      <c r="E60" s="20" t="n">
        <f aca="false">E57+E58-E59</f>
        <v>21720.33133125</v>
      </c>
      <c r="F60" s="20" t="n">
        <f aca="false">F57+F58-F59</f>
        <v>23039.1528677813</v>
      </c>
      <c r="G60" s="20" t="n">
        <f aca="false">G57+G58-G59</f>
        <v>24443.697804187</v>
      </c>
      <c r="H60" s="20" t="n">
        <f aca="false">H57+H58-H59</f>
        <v>25939.5381614592</v>
      </c>
      <c r="I60" s="3"/>
      <c r="J60" s="3"/>
      <c r="K60" s="3"/>
      <c r="L60" s="3"/>
      <c r="M60" s="3"/>
      <c r="N60" s="3"/>
      <c r="O60" s="3"/>
      <c r="P60" s="3"/>
      <c r="Q60" s="3"/>
      <c r="R60" s="3"/>
    </row>
    <row r="61" customFormat="false" ht="15" hidden="false" customHeight="true" outlineLevel="0" collapsed="false">
      <c r="A61" s="8" t="s">
        <v>469</v>
      </c>
      <c r="B61" s="3"/>
      <c r="C61" s="3"/>
      <c r="D61" s="16" t="n">
        <f aca="false">$C57*$M$15</f>
        <v>6439.75</v>
      </c>
      <c r="E61" s="16" t="n">
        <f aca="false">0</f>
        <v>0</v>
      </c>
      <c r="F61" s="16" t="n">
        <f aca="false">0</f>
        <v>0</v>
      </c>
      <c r="G61" s="16" t="n">
        <f aca="false">0</f>
        <v>0</v>
      </c>
      <c r="H61" s="16" t="n">
        <f aca="false">0</f>
        <v>0</v>
      </c>
      <c r="I61" s="3"/>
      <c r="J61" s="3"/>
      <c r="K61" s="3"/>
      <c r="L61" s="3"/>
      <c r="M61" s="3"/>
      <c r="N61" s="3"/>
      <c r="O61" s="3"/>
      <c r="P61" s="3"/>
      <c r="Q61" s="3"/>
      <c r="R61" s="3"/>
    </row>
    <row r="62" customFormat="false" ht="15" hidden="false" customHeight="true" outlineLevel="0" collapsed="false">
      <c r="A62" s="8" t="s">
        <v>470</v>
      </c>
      <c r="B62" s="3"/>
      <c r="C62" s="16" t="n">
        <f aca="false">'0_Control_Panel'!$B$26</f>
        <v>64046</v>
      </c>
      <c r="D62" s="16" t="n">
        <f aca="false">$P$15-'0_Control_Panel'!$B$47*(1-$M$15)</f>
        <v>47941.5</v>
      </c>
      <c r="E62" s="16" t="n">
        <f aca="false">D62-E59</f>
        <v>47848.5</v>
      </c>
      <c r="F62" s="16" t="n">
        <f aca="false">E62-F59</f>
        <v>47755.5</v>
      </c>
      <c r="G62" s="16" t="n">
        <f aca="false">F62-G59</f>
        <v>47662.5</v>
      </c>
      <c r="H62" s="16" t="n">
        <f aca="false">G62-H59</f>
        <v>47569.5</v>
      </c>
      <c r="I62" s="3"/>
      <c r="J62" s="3"/>
      <c r="K62" s="3"/>
      <c r="L62" s="3"/>
      <c r="M62" s="3"/>
      <c r="N62" s="3"/>
      <c r="O62" s="3"/>
      <c r="P62" s="3"/>
      <c r="Q62" s="3"/>
      <c r="R62" s="3"/>
    </row>
    <row r="63" customFormat="false" ht="15" hidden="false" customHeight="true" outlineLevel="0" collapsed="false">
      <c r="A63" s="3"/>
      <c r="B63" s="3"/>
      <c r="C63" s="3"/>
      <c r="D63" s="3"/>
      <c r="E63" s="3"/>
      <c r="F63" s="3"/>
      <c r="G63" s="3"/>
      <c r="H63" s="3"/>
      <c r="I63" s="3"/>
      <c r="J63" s="3"/>
      <c r="K63" s="3"/>
      <c r="L63" s="3"/>
      <c r="M63" s="3"/>
      <c r="N63" s="3"/>
      <c r="O63" s="3"/>
      <c r="P63" s="3"/>
      <c r="Q63" s="3"/>
      <c r="R63" s="3"/>
    </row>
    <row r="64" customFormat="false" ht="15" hidden="false" customHeight="true" outlineLevel="0" collapsed="false">
      <c r="A64" s="8" t="s">
        <v>471</v>
      </c>
      <c r="B64" s="12" t="n">
        <v>0.065</v>
      </c>
      <c r="C64" s="3"/>
      <c r="D64" s="3"/>
      <c r="E64" s="3"/>
      <c r="F64" s="3"/>
      <c r="G64" s="3"/>
      <c r="H64" s="3"/>
      <c r="I64" s="3"/>
      <c r="J64" s="3"/>
      <c r="K64" s="3"/>
      <c r="L64" s="3"/>
      <c r="M64" s="3"/>
      <c r="N64" s="3"/>
      <c r="O64" s="3"/>
      <c r="P64" s="3"/>
      <c r="Q64" s="3"/>
      <c r="R64" s="3"/>
    </row>
    <row r="65" customFormat="false" ht="15" hidden="false" customHeight="true" outlineLevel="0" collapsed="false">
      <c r="A65" s="3"/>
      <c r="B65" s="3"/>
      <c r="C65" s="3"/>
      <c r="D65" s="3"/>
      <c r="E65" s="3"/>
      <c r="F65" s="3"/>
      <c r="G65" s="3"/>
      <c r="H65" s="3"/>
      <c r="I65" s="3"/>
      <c r="J65" s="3"/>
      <c r="K65" s="3"/>
      <c r="L65" s="3"/>
      <c r="M65" s="3"/>
      <c r="N65" s="3"/>
      <c r="O65" s="3"/>
      <c r="P65" s="3"/>
      <c r="Q65" s="3"/>
      <c r="R65" s="3"/>
    </row>
    <row r="66" customFormat="false" ht="15" hidden="false" customHeight="true" outlineLevel="0" collapsed="false">
      <c r="A66" s="5" t="s">
        <v>472</v>
      </c>
      <c r="B66" s="5"/>
      <c r="C66" s="5"/>
      <c r="D66" s="5"/>
      <c r="E66" s="5"/>
      <c r="F66" s="5"/>
      <c r="G66" s="5"/>
      <c r="H66" s="5"/>
      <c r="I66" s="3"/>
      <c r="J66" s="3"/>
      <c r="K66" s="3"/>
      <c r="L66" s="3"/>
      <c r="M66" s="3"/>
      <c r="N66" s="3"/>
      <c r="O66" s="3"/>
      <c r="P66" s="3"/>
      <c r="Q66" s="3"/>
      <c r="R66" s="3"/>
    </row>
    <row r="67" customFormat="false" ht="15" hidden="false" customHeight="true" outlineLevel="0" collapsed="false">
      <c r="A67" s="8" t="s">
        <v>473</v>
      </c>
      <c r="B67" s="3"/>
      <c r="C67" s="16" t="n">
        <f aca="false">D16</f>
        <v>211</v>
      </c>
      <c r="D67" s="16" t="n">
        <f aca="false">$P$16</f>
        <v>211</v>
      </c>
      <c r="E67" s="16" t="n">
        <f aca="false">D71</f>
        <v>175.833333333333</v>
      </c>
      <c r="F67" s="16" t="n">
        <f aca="false">E71</f>
        <v>140.666666666667</v>
      </c>
      <c r="G67" s="16" t="n">
        <f aca="false">F71</f>
        <v>105.5</v>
      </c>
      <c r="H67" s="16" t="n">
        <f aca="false">G71</f>
        <v>70.3333333333334</v>
      </c>
      <c r="I67" s="3"/>
      <c r="J67" s="3"/>
      <c r="K67" s="3"/>
      <c r="L67" s="3"/>
      <c r="M67" s="3"/>
      <c r="N67" s="3"/>
      <c r="O67" s="3"/>
      <c r="P67" s="3"/>
      <c r="Q67" s="3"/>
      <c r="R67" s="3"/>
    </row>
    <row r="68" customFormat="false" ht="15" hidden="false" customHeight="true" outlineLevel="0" collapsed="false">
      <c r="A68" s="8" t="s">
        <v>474</v>
      </c>
      <c r="B68" s="3"/>
      <c r="C68" s="3"/>
      <c r="D68" s="16" t="n">
        <f aca="false">D67*$G$16</f>
        <v>22.155</v>
      </c>
      <c r="E68" s="16" t="n">
        <f aca="false">E67*$G$16</f>
        <v>18.4625</v>
      </c>
      <c r="F68" s="16" t="n">
        <f aca="false">F67*$G$16</f>
        <v>14.77</v>
      </c>
      <c r="G68" s="16" t="n">
        <f aca="false">G67*$G$16</f>
        <v>11.0775</v>
      </c>
      <c r="H68" s="16" t="n">
        <f aca="false">H67*$G$16</f>
        <v>7.385</v>
      </c>
      <c r="I68" s="3"/>
      <c r="J68" s="3"/>
      <c r="K68" s="3"/>
      <c r="L68" s="3"/>
      <c r="M68" s="3"/>
      <c r="N68" s="3"/>
      <c r="O68" s="3"/>
      <c r="P68" s="3"/>
      <c r="Q68" s="3"/>
      <c r="R68" s="3"/>
    </row>
    <row r="69" customFormat="false" ht="15" hidden="false" customHeight="true" outlineLevel="0" collapsed="false">
      <c r="A69" s="8" t="s">
        <v>475</v>
      </c>
      <c r="B69" s="3"/>
      <c r="C69" s="3"/>
      <c r="D69" s="16" t="n">
        <f aca="false">IF($H$16=2,D68,0)</f>
        <v>0</v>
      </c>
      <c r="E69" s="16" t="n">
        <f aca="false">IF($H$16=2,E68,0)</f>
        <v>0</v>
      </c>
      <c r="F69" s="16" t="n">
        <f aca="false">IF($H$16=2,F68,0)</f>
        <v>0</v>
      </c>
      <c r="G69" s="16" t="n">
        <f aca="false">IF($H$16=2,G68,0)</f>
        <v>0</v>
      </c>
      <c r="H69" s="16" t="n">
        <f aca="false">IF($H$16=2,H68,0)</f>
        <v>0</v>
      </c>
      <c r="I69" s="3"/>
      <c r="J69" s="3"/>
      <c r="K69" s="3"/>
      <c r="L69" s="3"/>
      <c r="M69" s="3"/>
      <c r="N69" s="3"/>
      <c r="O69" s="3"/>
      <c r="P69" s="3"/>
      <c r="Q69" s="3"/>
      <c r="R69" s="3"/>
    </row>
    <row r="70" customFormat="false" ht="15" hidden="false" customHeight="true" outlineLevel="0" collapsed="false">
      <c r="A70" s="6" t="s">
        <v>476</v>
      </c>
      <c r="B70" s="3"/>
      <c r="C70" s="3"/>
      <c r="D70" s="20" t="n">
        <f aca="false">MIN(D67+D69,$P$16/(1+$Q$16))</f>
        <v>35.1666666666667</v>
      </c>
      <c r="E70" s="20" t="n">
        <f aca="false">MIN(E67+E69,$P$16/(1+$Q$16))</f>
        <v>35.1666666666667</v>
      </c>
      <c r="F70" s="20" t="n">
        <f aca="false">MIN(F67+F69,$P$16/(1+$Q$16))</f>
        <v>35.1666666666667</v>
      </c>
      <c r="G70" s="20" t="n">
        <f aca="false">MIN(G67+G69,$P$16/(1+$Q$16))</f>
        <v>35.1666666666667</v>
      </c>
      <c r="H70" s="20" t="n">
        <f aca="false">MIN(H67+H69,$P$16/(1+$Q$16))</f>
        <v>35.1666666666667</v>
      </c>
      <c r="I70" s="3"/>
      <c r="J70" s="3"/>
      <c r="K70" s="3"/>
      <c r="L70" s="3"/>
      <c r="M70" s="3"/>
      <c r="N70" s="3"/>
      <c r="O70" s="3"/>
      <c r="P70" s="3"/>
      <c r="Q70" s="3"/>
      <c r="R70" s="3"/>
    </row>
    <row r="71" customFormat="false" ht="15" hidden="false" customHeight="true" outlineLevel="0" collapsed="false">
      <c r="A71" s="6" t="s">
        <v>464</v>
      </c>
      <c r="B71" s="3"/>
      <c r="C71" s="20" t="n">
        <f aca="false">D16</f>
        <v>211</v>
      </c>
      <c r="D71" s="20" t="n">
        <f aca="false">D67+D69-D70</f>
        <v>175.833333333333</v>
      </c>
      <c r="E71" s="20" t="n">
        <f aca="false">E67+E69-E70</f>
        <v>140.666666666667</v>
      </c>
      <c r="F71" s="20" t="n">
        <f aca="false">F67+F69-F70</f>
        <v>105.5</v>
      </c>
      <c r="G71" s="20" t="n">
        <f aca="false">G67+G69-G70</f>
        <v>70.3333333333334</v>
      </c>
      <c r="H71" s="20" t="n">
        <f aca="false">H67+H69-H70</f>
        <v>35.1666666666667</v>
      </c>
      <c r="I71" s="3"/>
      <c r="J71" s="3"/>
      <c r="K71" s="3"/>
      <c r="L71" s="3"/>
      <c r="M71" s="3"/>
      <c r="N71" s="3"/>
      <c r="O71" s="3"/>
      <c r="P71" s="3"/>
      <c r="Q71" s="3"/>
      <c r="R71" s="3"/>
    </row>
    <row r="72" customFormat="false" ht="15" hidden="false" customHeight="true" outlineLevel="0" collapsed="false">
      <c r="A72" s="3"/>
      <c r="B72" s="3"/>
      <c r="C72" s="3"/>
      <c r="D72" s="3"/>
      <c r="E72" s="3"/>
      <c r="F72" s="3"/>
      <c r="G72" s="3"/>
      <c r="H72" s="3"/>
      <c r="I72" s="3"/>
      <c r="J72" s="3"/>
      <c r="K72" s="3"/>
      <c r="L72" s="3"/>
      <c r="M72" s="3"/>
      <c r="N72" s="3"/>
      <c r="O72" s="3"/>
      <c r="P72" s="3"/>
      <c r="Q72" s="3"/>
      <c r="R72" s="3"/>
    </row>
    <row r="73" customFormat="false" ht="15" hidden="false" customHeight="true" outlineLevel="0" collapsed="false">
      <c r="A73" s="5" t="s">
        <v>477</v>
      </c>
      <c r="B73" s="5"/>
      <c r="C73" s="5"/>
      <c r="D73" s="5"/>
      <c r="E73" s="5"/>
      <c r="F73" s="5"/>
      <c r="G73" s="5"/>
      <c r="H73" s="5"/>
      <c r="I73" s="3"/>
      <c r="J73" s="3"/>
      <c r="K73" s="3"/>
      <c r="L73" s="3"/>
      <c r="M73" s="3"/>
      <c r="N73" s="3"/>
      <c r="O73" s="3"/>
      <c r="P73" s="3"/>
      <c r="Q73" s="3"/>
      <c r="R73" s="3"/>
    </row>
    <row r="74" customFormat="false" ht="15" hidden="false" customHeight="true" outlineLevel="0" collapsed="false">
      <c r="A74" s="8" t="s">
        <v>478</v>
      </c>
      <c r="B74" s="3"/>
      <c r="C74" s="16" t="n">
        <f aca="false">0</f>
        <v>0</v>
      </c>
      <c r="D74" s="16" t="n">
        <f aca="false">0</f>
        <v>0</v>
      </c>
      <c r="E74" s="16" t="n">
        <f aca="false">D79</f>
        <v>15000</v>
      </c>
      <c r="F74" s="16" t="n">
        <f aca="false">E79</f>
        <v>15000</v>
      </c>
      <c r="G74" s="16" t="n">
        <f aca="false">F79</f>
        <v>13500</v>
      </c>
      <c r="H74" s="16" t="n">
        <f aca="false">G79</f>
        <v>12000</v>
      </c>
      <c r="I74" s="3"/>
      <c r="J74" s="3"/>
      <c r="K74" s="3"/>
      <c r="L74" s="3"/>
      <c r="M74" s="3"/>
      <c r="N74" s="3"/>
      <c r="O74" s="3"/>
      <c r="P74" s="3"/>
      <c r="Q74" s="3"/>
      <c r="R74" s="3"/>
    </row>
    <row r="75" customFormat="false" ht="15" hidden="false" customHeight="true" outlineLevel="0" collapsed="false">
      <c r="A75" s="8" t="s">
        <v>479</v>
      </c>
      <c r="B75" s="3"/>
      <c r="C75" s="3"/>
      <c r="D75" s="16" t="n">
        <f aca="false">$D$17</f>
        <v>15000</v>
      </c>
      <c r="E75" s="16" t="n">
        <f aca="false">0</f>
        <v>0</v>
      </c>
      <c r="F75" s="16" t="n">
        <f aca="false">0</f>
        <v>0</v>
      </c>
      <c r="G75" s="16" t="n">
        <f aca="false">0</f>
        <v>0</v>
      </c>
      <c r="H75" s="16" t="n">
        <f aca="false">0</f>
        <v>0</v>
      </c>
      <c r="I75" s="3"/>
      <c r="J75" s="3"/>
      <c r="K75" s="3"/>
      <c r="L75" s="3"/>
      <c r="M75" s="3"/>
      <c r="N75" s="3"/>
      <c r="O75" s="3"/>
      <c r="P75" s="3"/>
      <c r="Q75" s="3"/>
      <c r="R75" s="3"/>
    </row>
    <row r="76" customFormat="false" ht="15" hidden="false" customHeight="true" outlineLevel="0" collapsed="false">
      <c r="A76" s="8" t="s">
        <v>480</v>
      </c>
      <c r="B76" s="3"/>
      <c r="C76" s="3"/>
      <c r="D76" s="16" t="n">
        <f aca="false">(D74+D75)*$G$17</f>
        <v>1537.5</v>
      </c>
      <c r="E76" s="16" t="n">
        <f aca="false">(E74+E75)*$G$17</f>
        <v>1537.5</v>
      </c>
      <c r="F76" s="16" t="n">
        <f aca="false">(F74+F75)*$G$17</f>
        <v>1537.5</v>
      </c>
      <c r="G76" s="16" t="n">
        <f aca="false">(G74+G75)*$G$17</f>
        <v>1383.75</v>
      </c>
      <c r="H76" s="16" t="n">
        <f aca="false">(H74+H75)*$G$17</f>
        <v>1230</v>
      </c>
      <c r="I76" s="3"/>
      <c r="J76" s="3"/>
      <c r="K76" s="3"/>
      <c r="L76" s="3"/>
      <c r="M76" s="3"/>
      <c r="N76" s="3"/>
      <c r="O76" s="3"/>
      <c r="P76" s="3"/>
      <c r="Q76" s="3"/>
      <c r="R76" s="3"/>
    </row>
    <row r="77" customFormat="false" ht="15" hidden="false" customHeight="true" outlineLevel="0" collapsed="false">
      <c r="A77" s="8" t="s">
        <v>475</v>
      </c>
      <c r="B77" s="3"/>
      <c r="C77" s="3"/>
      <c r="D77" s="16" t="n">
        <f aca="false">IF($H$17=2,D76,0)</f>
        <v>0</v>
      </c>
      <c r="E77" s="16" t="n">
        <f aca="false">IF($H$17=2,E76,0)</f>
        <v>0</v>
      </c>
      <c r="F77" s="16" t="n">
        <f aca="false">IF($H$17=2,F76,0)</f>
        <v>0</v>
      </c>
      <c r="G77" s="16" t="n">
        <f aca="false">IF($H$17=2,G76,0)</f>
        <v>0</v>
      </c>
      <c r="H77" s="16" t="n">
        <f aca="false">IF($H$17=2,H76,0)</f>
        <v>0</v>
      </c>
      <c r="I77" s="3"/>
      <c r="J77" s="3"/>
      <c r="K77" s="3"/>
      <c r="L77" s="3"/>
      <c r="M77" s="3"/>
      <c r="N77" s="3"/>
      <c r="O77" s="3"/>
      <c r="P77" s="3"/>
      <c r="Q77" s="3"/>
      <c r="R77" s="3"/>
    </row>
    <row r="78" customFormat="false" ht="15" hidden="false" customHeight="true" outlineLevel="0" collapsed="false">
      <c r="A78" s="6" t="s">
        <v>481</v>
      </c>
      <c r="B78" s="3"/>
      <c r="C78" s="3"/>
      <c r="D78" s="20" t="n">
        <f aca="false">IF(D$46&gt;=3,MIN(D74+D77,$D$17/(5+$Q$17)),0)</f>
        <v>0</v>
      </c>
      <c r="E78" s="20" t="n">
        <f aca="false">IF(E$46&gt;=3,MIN(E74+E77,$D$17/(5+$Q$17)),0)</f>
        <v>0</v>
      </c>
      <c r="F78" s="20" t="n">
        <f aca="false">IF(F$46&gt;=3,MIN(F74+F77,$D$17/(5+$Q$17)),0)</f>
        <v>1500</v>
      </c>
      <c r="G78" s="20" t="n">
        <f aca="false">IF(G$46&gt;=3,MIN(G74+G77,$D$17/(5+$Q$17)),0)</f>
        <v>1500</v>
      </c>
      <c r="H78" s="20" t="n">
        <f aca="false">IF(H$46&gt;=3,MIN(H74+H77,$D$17/(5+$Q$17)),0)</f>
        <v>1500</v>
      </c>
      <c r="I78" s="3"/>
      <c r="J78" s="3"/>
      <c r="K78" s="3"/>
      <c r="L78" s="3"/>
      <c r="M78" s="3"/>
      <c r="N78" s="3"/>
      <c r="O78" s="3"/>
      <c r="P78" s="3"/>
      <c r="Q78" s="3"/>
      <c r="R78" s="3"/>
    </row>
    <row r="79" customFormat="false" ht="15" hidden="false" customHeight="true" outlineLevel="0" collapsed="false">
      <c r="A79" s="6" t="s">
        <v>464</v>
      </c>
      <c r="B79" s="3"/>
      <c r="C79" s="20" t="n">
        <f aca="false">0</f>
        <v>0</v>
      </c>
      <c r="D79" s="20" t="n">
        <f aca="false">D74+D75+D77-D78</f>
        <v>15000</v>
      </c>
      <c r="E79" s="20" t="n">
        <f aca="false">E74+E75+E77-E78</f>
        <v>15000</v>
      </c>
      <c r="F79" s="20" t="n">
        <f aca="false">F74+F75+F77-F78</f>
        <v>13500</v>
      </c>
      <c r="G79" s="20" t="n">
        <f aca="false">G74+G75+G77-G78</f>
        <v>12000</v>
      </c>
      <c r="H79" s="20" t="n">
        <f aca="false">H74+H75+H77-H78</f>
        <v>10500</v>
      </c>
      <c r="I79" s="3"/>
      <c r="J79" s="3"/>
      <c r="K79" s="3"/>
      <c r="L79" s="3"/>
      <c r="M79" s="3"/>
      <c r="N79" s="3"/>
      <c r="O79" s="3"/>
      <c r="P79" s="3"/>
      <c r="Q79" s="3"/>
      <c r="R79" s="3"/>
    </row>
    <row r="80" customFormat="false" ht="15" hidden="false" customHeight="true" outlineLevel="0" collapsed="false">
      <c r="A80" s="3"/>
      <c r="B80" s="3"/>
      <c r="C80" s="3"/>
      <c r="D80" s="3"/>
      <c r="E80" s="3"/>
      <c r="F80" s="3"/>
      <c r="G80" s="3"/>
      <c r="H80" s="3"/>
      <c r="I80" s="3"/>
      <c r="J80" s="3"/>
      <c r="K80" s="3"/>
      <c r="L80" s="3"/>
      <c r="M80" s="3"/>
      <c r="N80" s="3"/>
      <c r="O80" s="3"/>
      <c r="P80" s="3"/>
      <c r="Q80" s="3"/>
      <c r="R80" s="3"/>
    </row>
    <row r="81" customFormat="false" ht="15" hidden="false" customHeight="true" outlineLevel="0" collapsed="false">
      <c r="A81" s="5" t="s">
        <v>482</v>
      </c>
      <c r="B81" s="5"/>
      <c r="C81" s="5"/>
      <c r="D81" s="5"/>
      <c r="E81" s="5"/>
      <c r="F81" s="5"/>
      <c r="G81" s="5"/>
      <c r="H81" s="5"/>
      <c r="I81" s="3"/>
      <c r="J81" s="3"/>
      <c r="K81" s="3"/>
      <c r="L81" s="3"/>
      <c r="M81" s="3"/>
      <c r="N81" s="3"/>
      <c r="O81" s="3"/>
      <c r="P81" s="3"/>
      <c r="Q81" s="3"/>
      <c r="R81" s="3"/>
    </row>
    <row r="82" customFormat="false" ht="15" hidden="false" customHeight="true" outlineLevel="0" collapsed="false">
      <c r="A82" s="8" t="s">
        <v>473</v>
      </c>
      <c r="B82" s="3"/>
      <c r="C82" s="16" t="n">
        <f aca="false">D18</f>
        <v>3300</v>
      </c>
      <c r="D82" s="16" t="n">
        <f aca="false">$P$18</f>
        <v>3300</v>
      </c>
      <c r="E82" s="16" t="n">
        <f aca="false">D86</f>
        <v>3300</v>
      </c>
      <c r="F82" s="16" t="n">
        <f aca="false">E86</f>
        <v>3300</v>
      </c>
      <c r="G82" s="16" t="n">
        <f aca="false">F86</f>
        <v>3300</v>
      </c>
      <c r="H82" s="16" t="n">
        <f aca="false">G86</f>
        <v>3300</v>
      </c>
      <c r="I82" s="3"/>
      <c r="J82" s="3"/>
      <c r="K82" s="3"/>
      <c r="L82" s="3"/>
      <c r="M82" s="3"/>
      <c r="N82" s="3"/>
      <c r="O82" s="3"/>
      <c r="P82" s="3"/>
      <c r="Q82" s="3"/>
      <c r="R82" s="3"/>
    </row>
    <row r="83" customFormat="false" ht="15" hidden="false" customHeight="true" outlineLevel="0" collapsed="false">
      <c r="A83" s="8" t="s">
        <v>483</v>
      </c>
      <c r="B83" s="3"/>
      <c r="C83" s="3"/>
      <c r="D83" s="16" t="n">
        <f aca="false">D82*$G$18</f>
        <v>354.75</v>
      </c>
      <c r="E83" s="16" t="n">
        <f aca="false">E82*$G$18</f>
        <v>354.75</v>
      </c>
      <c r="F83" s="16" t="n">
        <f aca="false">F82*$G$18</f>
        <v>354.75</v>
      </c>
      <c r="G83" s="16" t="n">
        <f aca="false">G82*$G$18</f>
        <v>354.75</v>
      </c>
      <c r="H83" s="16" t="n">
        <f aca="false">H82*$G$18</f>
        <v>354.75</v>
      </c>
      <c r="I83" s="3"/>
      <c r="J83" s="3"/>
      <c r="K83" s="3"/>
      <c r="L83" s="3"/>
      <c r="M83" s="3"/>
      <c r="N83" s="3"/>
      <c r="O83" s="3"/>
      <c r="P83" s="3"/>
      <c r="Q83" s="3"/>
      <c r="R83" s="3"/>
    </row>
    <row r="84" customFormat="false" ht="15" hidden="false" customHeight="true" outlineLevel="0" collapsed="false">
      <c r="A84" s="8" t="s">
        <v>475</v>
      </c>
      <c r="B84" s="3"/>
      <c r="C84" s="3"/>
      <c r="D84" s="16" t="n">
        <f aca="false">IF($H$18=2,D83,0)</f>
        <v>0</v>
      </c>
      <c r="E84" s="16" t="n">
        <f aca="false">IF($H$18=2,E83,0)</f>
        <v>0</v>
      </c>
      <c r="F84" s="16" t="n">
        <f aca="false">IF($H$18=2,F83,0)</f>
        <v>0</v>
      </c>
      <c r="G84" s="16" t="n">
        <f aca="false">IF($H$18=2,G83,0)</f>
        <v>0</v>
      </c>
      <c r="H84" s="16" t="n">
        <f aca="false">IF($H$18=2,H83,0)</f>
        <v>0</v>
      </c>
      <c r="I84" s="3"/>
      <c r="J84" s="3"/>
      <c r="K84" s="3"/>
      <c r="L84" s="3"/>
      <c r="M84" s="3"/>
      <c r="N84" s="3"/>
      <c r="O84" s="3"/>
      <c r="P84" s="3"/>
      <c r="Q84" s="3"/>
      <c r="R84" s="3"/>
    </row>
    <row r="85" customFormat="false" ht="15" hidden="false" customHeight="true" outlineLevel="0" collapsed="false">
      <c r="A85" s="6" t="s">
        <v>484</v>
      </c>
      <c r="B85" s="3"/>
      <c r="C85" s="3"/>
      <c r="D85" s="20" t="n">
        <f aca="false">IF(D$46=3+$Q$18,D82+D84,0)</f>
        <v>0</v>
      </c>
      <c r="E85" s="20" t="n">
        <f aca="false">IF(E$46=3+$Q$18,E82+E84,0)</f>
        <v>0</v>
      </c>
      <c r="F85" s="20" t="n">
        <f aca="false">IF(F$46=3+$Q$18,F82+F84,0)</f>
        <v>0</v>
      </c>
      <c r="G85" s="20" t="n">
        <f aca="false">IF(G$46=3+$Q$18,G82+G84,0)</f>
        <v>0</v>
      </c>
      <c r="H85" s="20" t="n">
        <f aca="false">IF(H$46=3+$Q$18,H82+H84,0)</f>
        <v>0</v>
      </c>
      <c r="I85" s="3"/>
      <c r="J85" s="3"/>
      <c r="K85" s="3"/>
      <c r="L85" s="3"/>
      <c r="M85" s="3"/>
      <c r="N85" s="3"/>
      <c r="O85" s="3"/>
      <c r="P85" s="3"/>
      <c r="Q85" s="3"/>
      <c r="R85" s="3"/>
    </row>
    <row r="86" customFormat="false" ht="15" hidden="false" customHeight="true" outlineLevel="0" collapsed="false">
      <c r="A86" s="6" t="s">
        <v>464</v>
      </c>
      <c r="B86" s="3"/>
      <c r="C86" s="20" t="n">
        <f aca="false">D18</f>
        <v>3300</v>
      </c>
      <c r="D86" s="20" t="n">
        <f aca="false">D82+D84-D85</f>
        <v>3300</v>
      </c>
      <c r="E86" s="20" t="n">
        <f aca="false">E82+E84-E85</f>
        <v>3300</v>
      </c>
      <c r="F86" s="20" t="n">
        <f aca="false">F82+F84-F85</f>
        <v>3300</v>
      </c>
      <c r="G86" s="20" t="n">
        <f aca="false">G82+G84-G85</f>
        <v>3300</v>
      </c>
      <c r="H86" s="20" t="n">
        <f aca="false">H82+H84-H85</f>
        <v>3300</v>
      </c>
      <c r="I86" s="3"/>
      <c r="J86" s="3"/>
      <c r="K86" s="3"/>
      <c r="L86" s="3"/>
      <c r="M86" s="3"/>
      <c r="N86" s="3"/>
      <c r="O86" s="3"/>
      <c r="P86" s="3"/>
      <c r="Q86" s="3"/>
      <c r="R86" s="3"/>
    </row>
    <row r="87" customFormat="false" ht="15" hidden="false" customHeight="true" outlineLevel="0" collapsed="false">
      <c r="A87" s="3"/>
      <c r="B87" s="3"/>
      <c r="C87" s="3"/>
      <c r="D87" s="3"/>
      <c r="E87" s="3"/>
      <c r="F87" s="3"/>
      <c r="G87" s="3"/>
      <c r="H87" s="3"/>
      <c r="I87" s="3"/>
      <c r="J87" s="3"/>
      <c r="K87" s="3"/>
      <c r="L87" s="3"/>
      <c r="M87" s="3"/>
      <c r="N87" s="3"/>
      <c r="O87" s="3"/>
      <c r="P87" s="3"/>
      <c r="Q87" s="3"/>
      <c r="R87" s="3"/>
    </row>
    <row r="88" customFormat="false" ht="15" hidden="false" customHeight="true" outlineLevel="0" collapsed="false">
      <c r="A88" s="6" t="s">
        <v>485</v>
      </c>
      <c r="B88" s="3"/>
      <c r="C88" s="3"/>
      <c r="D88" s="20" t="n">
        <f aca="false">D52+D59</f>
        <v>93</v>
      </c>
      <c r="E88" s="20" t="n">
        <f aca="false">E52+E59</f>
        <v>93</v>
      </c>
      <c r="F88" s="20" t="n">
        <f aca="false">F52+F59</f>
        <v>93</v>
      </c>
      <c r="G88" s="20" t="n">
        <f aca="false">G52+G59</f>
        <v>93</v>
      </c>
      <c r="H88" s="20" t="n">
        <f aca="false">H52+H59</f>
        <v>14493</v>
      </c>
      <c r="I88" s="3"/>
      <c r="J88" s="3"/>
      <c r="K88" s="3"/>
      <c r="L88" s="3"/>
      <c r="M88" s="3"/>
      <c r="N88" s="3"/>
      <c r="O88" s="3"/>
      <c r="P88" s="3"/>
      <c r="Q88" s="3"/>
      <c r="R88" s="3"/>
    </row>
    <row r="89" customFormat="false" ht="15" hidden="false" customHeight="true" outlineLevel="0" collapsed="false">
      <c r="A89" s="8" t="s">
        <v>486</v>
      </c>
      <c r="B89" s="3"/>
      <c r="C89" s="3"/>
      <c r="D89" s="16" t="n">
        <f aca="false">D49+'0_Control_Panel'!$B$47</f>
        <v>7200</v>
      </c>
      <c r="E89" s="16" t="n">
        <f aca="false">E49+'0_Control_Panel'!$B$47</f>
        <v>15124</v>
      </c>
      <c r="F89" s="16" t="n">
        <f aca="false">F49+'0_Control_Panel'!$B$47</f>
        <v>27124</v>
      </c>
      <c r="G89" s="16" t="n">
        <f aca="false">G49+'0_Control_Panel'!$B$47</f>
        <v>18124</v>
      </c>
      <c r="H89" s="16" t="n">
        <f aca="false">H49+'0_Control_Panel'!$B$47</f>
        <v>18124</v>
      </c>
      <c r="I89" s="3"/>
      <c r="J89" s="3"/>
      <c r="K89" s="3"/>
      <c r="L89" s="3"/>
      <c r="M89" s="3"/>
      <c r="N89" s="3"/>
      <c r="O89" s="3"/>
      <c r="P89" s="3"/>
      <c r="Q89" s="3"/>
      <c r="R89" s="3"/>
    </row>
    <row r="90" customFormat="false" ht="15" hidden="false" customHeight="true" outlineLevel="0" collapsed="false">
      <c r="A90" s="6" t="s">
        <v>487</v>
      </c>
      <c r="B90" s="3"/>
      <c r="C90" s="3"/>
      <c r="D90" s="20" t="n">
        <f aca="false">D89-D88</f>
        <v>7107</v>
      </c>
      <c r="E90" s="20" t="n">
        <f aca="false">E89-E88</f>
        <v>15031</v>
      </c>
      <c r="F90" s="20" t="n">
        <f aca="false">F89-F88</f>
        <v>27031</v>
      </c>
      <c r="G90" s="20" t="n">
        <f aca="false">G89-G88</f>
        <v>18031</v>
      </c>
      <c r="H90" s="20" t="n">
        <f aca="false">H89-H88</f>
        <v>3631</v>
      </c>
      <c r="I90" s="3"/>
      <c r="J90" s="3"/>
      <c r="K90" s="3"/>
      <c r="L90" s="3"/>
      <c r="M90" s="3"/>
      <c r="N90" s="3"/>
      <c r="O90" s="3"/>
      <c r="P90" s="3"/>
      <c r="Q90" s="3"/>
      <c r="R90" s="3"/>
    </row>
    <row r="91" customFormat="false" ht="15" hidden="false" customHeight="false" outlineLevel="0" collapsed="false">
      <c r="A91" s="33" t="s">
        <v>488</v>
      </c>
      <c r="B91" s="33"/>
      <c r="C91" s="33"/>
      <c r="D91" s="33"/>
      <c r="E91" s="33"/>
      <c r="F91" s="33"/>
      <c r="G91" s="33"/>
      <c r="H91" s="33"/>
    </row>
    <row r="92" customFormat="false" ht="15" hidden="false" customHeight="false" outlineLevel="0" collapsed="false">
      <c r="A92" s="28" t="s">
        <v>489</v>
      </c>
      <c r="B92" s="38" t="n">
        <f aca="false">$G$14</f>
        <v>0.075</v>
      </c>
    </row>
    <row r="93" customFormat="false" ht="15" hidden="false" customHeight="false" outlineLevel="0" collapsed="false">
      <c r="A93" s="28" t="s">
        <v>490</v>
      </c>
      <c r="D93" s="58" t="n">
        <f aca="false">1/(1+$B$92)^D$46</f>
        <v>0.930232558139535</v>
      </c>
      <c r="E93" s="58" t="n">
        <f aca="false">1/(1+$B$92)^E$46</f>
        <v>0.865332612222823</v>
      </c>
      <c r="F93" s="58" t="n">
        <f aca="false">1/(1+$B$92)^F$46</f>
        <v>0.804960569509603</v>
      </c>
      <c r="G93" s="58" t="n">
        <f aca="false">1/(1+$B$92)^G$46</f>
        <v>0.748800529776375</v>
      </c>
      <c r="H93" s="58" t="n">
        <f aca="false">1/(1+$B$92)^H$46</f>
        <v>0.696558632350116</v>
      </c>
    </row>
    <row r="94" customFormat="false" ht="15" hidden="false" customHeight="false" outlineLevel="0" collapsed="false">
      <c r="A94" s="49" t="s">
        <v>491</v>
      </c>
      <c r="B94" s="29" t="n">
        <f aca="false">SUM(D94:H94)</f>
        <v>57407.6931858941</v>
      </c>
      <c r="D94" s="36" t="n">
        <f aca="false">D90*D93</f>
        <v>6611.16279069768</v>
      </c>
      <c r="E94" s="36" t="n">
        <f aca="false">E90*E93</f>
        <v>13006.8144943213</v>
      </c>
      <c r="F94" s="36" t="n">
        <f aca="false">F90*F93</f>
        <v>21758.8891544141</v>
      </c>
      <c r="G94" s="36" t="n">
        <f aca="false">G90*G93</f>
        <v>13501.6223523978</v>
      </c>
      <c r="H94" s="36" t="n">
        <f aca="false">H90*H93</f>
        <v>2529.20439406327</v>
      </c>
    </row>
    <row r="95" customFormat="false" ht="15" hidden="false" customHeight="false" outlineLevel="0" collapsed="false">
      <c r="A95" s="28" t="s">
        <v>492</v>
      </c>
      <c r="B95" s="36" t="n">
        <f aca="false">SUM(D90:H90)</f>
        <v>70831</v>
      </c>
    </row>
    <row r="96" customFormat="false" ht="15" hidden="false" customHeight="false" outlineLevel="0" collapsed="false">
      <c r="A96" s="28" t="s">
        <v>493</v>
      </c>
      <c r="B96" s="38" t="n">
        <f aca="false">IFERROR(B94/B95,0)</f>
        <v>0.810488249296129</v>
      </c>
    </row>
    <row r="97" customFormat="false" ht="15" hidden="false" customHeight="false" outlineLevel="0" collapsed="false">
      <c r="A97" s="49" t="s">
        <v>494</v>
      </c>
    </row>
    <row r="98" customFormat="false" ht="15" hidden="false" customHeight="false" outlineLevel="0" collapsed="false">
      <c r="A98" s="28" t="s">
        <v>495</v>
      </c>
      <c r="B98" s="36" t="n">
        <f aca="false">H54</f>
        <v>135248.852456695</v>
      </c>
    </row>
    <row r="99" customFormat="false" ht="15" hidden="false" customHeight="false" outlineLevel="0" collapsed="false">
      <c r="A99" s="28" t="s">
        <v>496</v>
      </c>
      <c r="B99" s="36" t="n">
        <f aca="false">H62</f>
        <v>47569.5</v>
      </c>
    </row>
    <row r="100" customFormat="false" ht="15" hidden="false" customHeight="false" outlineLevel="0" collapsed="false">
      <c r="A100" s="28" t="s">
        <v>497</v>
      </c>
      <c r="B100" s="36" t="n">
        <f aca="false">H60</f>
        <v>25939.5381614592</v>
      </c>
    </row>
    <row r="101" customFormat="false" ht="15" hidden="false" customHeight="false" outlineLevel="0" collapsed="false">
      <c r="A101" s="49" t="s">
        <v>498</v>
      </c>
      <c r="B101" s="29" t="n">
        <f aca="false">B98+B99</f>
        <v>182818.352456695</v>
      </c>
    </row>
    <row r="102" customFormat="false" ht="15" hidden="false" customHeight="false" outlineLevel="0" collapsed="false">
      <c r="A102" s="28" t="s">
        <v>499</v>
      </c>
      <c r="B102" s="36" t="n">
        <f aca="false">B98+B100</f>
        <v>161188.390618155</v>
      </c>
    </row>
    <row r="104" customFormat="false" ht="15" hidden="false" customHeight="false" outlineLevel="0" collapsed="false">
      <c r="A104" s="49" t="s">
        <v>500</v>
      </c>
    </row>
    <row r="105" customFormat="false" ht="15" hidden="false" customHeight="false" outlineLevel="0" collapsed="false">
      <c r="A105" s="28" t="s">
        <v>501</v>
      </c>
      <c r="B105" s="36" t="n">
        <f aca="false">'3_Restructuring_Projections'!$H$39</f>
        <v>23763.6819980901</v>
      </c>
    </row>
    <row r="106" customFormat="false" ht="15" hidden="false" customHeight="false" outlineLevel="0" collapsed="false">
      <c r="A106" s="49" t="s">
        <v>502</v>
      </c>
      <c r="B106" s="30" t="n">
        <f aca="false">IFERROR(B101/B105,0)</f>
        <v>7.69318291969185</v>
      </c>
    </row>
    <row r="107" customFormat="false" ht="15" hidden="false" customHeight="false" outlineLevel="0" collapsed="false">
      <c r="A107" s="28" t="s">
        <v>503</v>
      </c>
      <c r="B107" s="59" t="n">
        <v>13</v>
      </c>
    </row>
    <row r="108" customFormat="false" ht="15" hidden="false" customHeight="false" outlineLevel="0" collapsed="false">
      <c r="A108" s="28" t="s">
        <v>504</v>
      </c>
      <c r="B108" s="36" t="n">
        <f aca="false">B101/B107</f>
        <v>14062.9501889766</v>
      </c>
    </row>
    <row r="109" customFormat="false" ht="15" hidden="false" customHeight="false" outlineLevel="0" collapsed="false">
      <c r="A109" s="49" t="s">
        <v>505</v>
      </c>
      <c r="B109" s="29" t="n">
        <f aca="false">-PMT(B92,B107,B101)</f>
        <v>22498.3936074978</v>
      </c>
    </row>
    <row r="110" customFormat="false" ht="15" hidden="false" customHeight="false" outlineLevel="0" collapsed="false">
      <c r="A110" s="28" t="s">
        <v>506</v>
      </c>
      <c r="B110" s="31" t="n">
        <f aca="false">IFERROR(B109/B105,0)</f>
        <v>0.946755372728267</v>
      </c>
    </row>
    <row r="111" customFormat="false" ht="15" hidden="false" customHeight="false" outlineLevel="0" collapsed="false">
      <c r="A111" s="28" t="s">
        <v>507</v>
      </c>
      <c r="B111" s="36" t="n">
        <f aca="false">'3_Restructuring_Projections'!$H$39-'3_Restructuring_Projections'!$H$61</f>
        <v>11763.6819980901</v>
      </c>
    </row>
    <row r="112" customFormat="false" ht="15" hidden="false" customHeight="false" outlineLevel="0" collapsed="false">
      <c r="A112" s="28" t="s">
        <v>508</v>
      </c>
      <c r="B112" s="38" t="n">
        <f aca="false">IF(B111&gt;0,B109/B111,0)</f>
        <v>1.91252990442538</v>
      </c>
      <c r="C112" s="51" t="str">
        <f aca="false">IF(B111&gt;0,"","n/m: cash EBITDA ≤ capex")</f>
        <v/>
      </c>
    </row>
    <row r="113" customFormat="false" ht="15" hidden="false" customHeight="false" outlineLevel="0" collapsed="false">
      <c r="A113" s="28" t="s">
        <v>509</v>
      </c>
      <c r="B113" s="50" t="n">
        <v>0.3</v>
      </c>
      <c r="C113" s="50" t="n">
        <v>0.5</v>
      </c>
    </row>
    <row r="114" customFormat="false" ht="15" hidden="false" customHeight="false" outlineLevel="0" collapsed="false">
      <c r="A114" s="49" t="s">
        <v>510</v>
      </c>
      <c r="B114" s="49" t="str">
        <f aca="false">IF(B110&gt;C113,"CLIFF — instalment above "&amp;TEXT(C113,"0%")&amp;" of FY31 cash EBITDA",IF(B110&gt;B113,"WATCH — "&amp;TEXT(B113,"0%")&amp;"-"&amp;TEXT(C113,"0%")&amp;" of FY31 cash EBITDA","OK — below "&amp;TEXT(B113,"0%")&amp;" of FY31 cash EBITDA"))</f>
        <v>CLIFF — instalment above 50% of FY31 cash EBITDA</v>
      </c>
    </row>
    <row r="115" customFormat="false" ht="15" hidden="false" customHeight="false" outlineLevel="0" collapsed="false">
      <c r="A115" s="26" t="s">
        <v>511</v>
      </c>
    </row>
    <row r="116" customFormat="false" ht="15" hidden="false" customHeight="false" outlineLevel="0" collapsed="false">
      <c r="A116" s="26" t="s">
        <v>512</v>
      </c>
    </row>
  </sheetData>
  <conditionalFormatting sqref="B8">
    <cfRule type="cellIs" priority="2" operator="equal" aboveAverage="0" equalAverage="0" bottom="0" percent="0" rank="0" text="" dxfId="0">
      <formula>1</formula>
    </cfRule>
  </conditionalFormatting>
  <conditionalFormatting sqref="B39">
    <cfRule type="expression" priority="3" aboveAverage="0" equalAverage="0" bottom="0" percent="0" rank="0" text="" dxfId="0">
      <formula>B39&gt;B40</formula>
    </cfRule>
  </conditionalFormatting>
  <conditionalFormatting sqref="B114">
    <cfRule type="expression" priority="4" aboveAverage="0" equalAverage="0" bottom="0" percent="0" rank="0" text="" dxfId="1">
      <formula>LEFT(B114,5)="CLIFF"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I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2"/>
    <col collapsed="false" customWidth="true" hidden="false" outlineLevel="0" max="3" min="3" style="1" width="14"/>
    <col collapsed="false" customWidth="true" hidden="false" outlineLevel="0" max="8" min="4" style="1" width="13"/>
    <col collapsed="false" customWidth="true" hidden="false" outlineLevel="0" max="9" min="9" style="1" width="50"/>
  </cols>
  <sheetData>
    <row r="1" customFormat="false" ht="15.75" hidden="false" customHeight="true" outlineLevel="0" collapsed="false">
      <c r="A1" s="2" t="s">
        <v>513</v>
      </c>
      <c r="B1" s="3"/>
      <c r="C1" s="3"/>
      <c r="D1" s="3"/>
      <c r="E1" s="3"/>
      <c r="F1" s="3"/>
      <c r="G1" s="3"/>
      <c r="H1" s="3"/>
      <c r="I1" s="3"/>
    </row>
    <row r="2" customFormat="false" ht="15" hidden="false" customHeight="true" outlineLevel="0" collapsed="false">
      <c r="A2" s="4" t="s">
        <v>514</v>
      </c>
      <c r="B2" s="3"/>
      <c r="C2" s="3"/>
      <c r="D2" s="3"/>
      <c r="E2" s="3"/>
      <c r="F2" s="3"/>
      <c r="G2" s="3"/>
      <c r="H2" s="3"/>
      <c r="I2" s="3"/>
    </row>
    <row r="3" customFormat="false" ht="15" hidden="false" customHeight="true" outlineLevel="0" collapsed="false">
      <c r="A3" s="3"/>
      <c r="B3" s="3"/>
      <c r="C3" s="3"/>
      <c r="D3" s="3"/>
      <c r="E3" s="3"/>
      <c r="F3" s="3"/>
      <c r="G3" s="3"/>
      <c r="H3" s="3"/>
      <c r="I3" s="3"/>
    </row>
    <row r="4" customFormat="false" ht="15" hidden="false" customHeight="true" outlineLevel="0" collapsed="false">
      <c r="A4" s="5" t="s">
        <v>515</v>
      </c>
      <c r="B4" s="5" t="s">
        <v>516</v>
      </c>
      <c r="C4" s="5" t="s">
        <v>517</v>
      </c>
      <c r="D4" s="5" t="s">
        <v>452</v>
      </c>
      <c r="E4" s="5" t="s">
        <v>453</v>
      </c>
      <c r="F4" s="5" t="s">
        <v>454</v>
      </c>
      <c r="G4" s="5" t="s">
        <v>455</v>
      </c>
      <c r="H4" s="5" t="s">
        <v>456</v>
      </c>
      <c r="I4" s="3"/>
    </row>
    <row r="5" customFormat="false" ht="15" hidden="false" customHeight="true" outlineLevel="0" collapsed="false">
      <c r="A5" s="8" t="s">
        <v>457</v>
      </c>
      <c r="B5" s="3"/>
      <c r="C5" s="10" t="n">
        <v>0</v>
      </c>
      <c r="D5" s="45" t="n">
        <f aca="false">C5+1</f>
        <v>1</v>
      </c>
      <c r="E5" s="45" t="n">
        <f aca="false">D5+1</f>
        <v>2</v>
      </c>
      <c r="F5" s="45" t="n">
        <f aca="false">E5+1</f>
        <v>3</v>
      </c>
      <c r="G5" s="45" t="n">
        <f aca="false">F5+1</f>
        <v>4</v>
      </c>
      <c r="H5" s="45" t="n">
        <f aca="false">G5+1</f>
        <v>5</v>
      </c>
      <c r="I5" s="3"/>
    </row>
    <row r="6" customFormat="false" ht="15" hidden="false" customHeight="true" outlineLevel="0" collapsed="false">
      <c r="A6" s="5" t="s">
        <v>518</v>
      </c>
      <c r="B6" s="5"/>
      <c r="C6" s="5"/>
      <c r="D6" s="5"/>
      <c r="E6" s="5"/>
      <c r="F6" s="5"/>
      <c r="G6" s="5"/>
      <c r="H6" s="5"/>
      <c r="I6" s="5"/>
    </row>
    <row r="7" customFormat="false" ht="15" hidden="false" customHeight="true" outlineLevel="0" collapsed="false">
      <c r="A7" s="8" t="s">
        <v>519</v>
      </c>
      <c r="B7" s="12" t="n">
        <v>0.0005</v>
      </c>
      <c r="C7" s="12" t="n">
        <v>0.038</v>
      </c>
      <c r="D7" s="42" t="n">
        <f aca="false">MAX($B$8,C7-$B$7*'0_Control_Panel'!$B$17)</f>
        <v>0.0375</v>
      </c>
      <c r="E7" s="42" t="n">
        <f aca="false">MAX($B$8,D7-$B$7*'0_Control_Panel'!$B$17)</f>
        <v>0.037</v>
      </c>
      <c r="F7" s="42" t="n">
        <f aca="false">MAX($B$8,E7-$B$7*'0_Control_Panel'!$B$17)</f>
        <v>0.0365</v>
      </c>
      <c r="G7" s="42" t="n">
        <f aca="false">MAX($B$8,F7-$B$7*'0_Control_Panel'!$B$17)</f>
        <v>0.036</v>
      </c>
      <c r="H7" s="42" t="n">
        <f aca="false">MAX($B$8,G7-$B$7*'0_Control_Panel'!$B$17)</f>
        <v>0.0355</v>
      </c>
      <c r="I7" s="4" t="s">
        <v>520</v>
      </c>
    </row>
    <row r="8" customFormat="false" ht="15" hidden="false" customHeight="true" outlineLevel="0" collapsed="false">
      <c r="A8" s="8" t="s">
        <v>521</v>
      </c>
      <c r="B8" s="12" t="n">
        <v>0.035</v>
      </c>
      <c r="C8" s="3"/>
      <c r="D8" s="3"/>
      <c r="E8" s="3"/>
      <c r="F8" s="3"/>
      <c r="G8" s="3"/>
      <c r="H8" s="3"/>
      <c r="I8" s="3"/>
    </row>
    <row r="9" customFormat="false" ht="15" hidden="false" customHeight="true" outlineLevel="0" collapsed="false">
      <c r="A9" s="8" t="s">
        <v>522</v>
      </c>
      <c r="B9" s="12" t="n">
        <v>0.0385</v>
      </c>
      <c r="C9" s="3"/>
      <c r="D9" s="42" t="n">
        <f aca="false">$B$9</f>
        <v>0.0385</v>
      </c>
      <c r="E9" s="42" t="n">
        <f aca="false">$B$9</f>
        <v>0.0385</v>
      </c>
      <c r="F9" s="42" t="n">
        <f aca="false">$B$9</f>
        <v>0.0385</v>
      </c>
      <c r="G9" s="42" t="n">
        <f aca="false">$B$9</f>
        <v>0.0385</v>
      </c>
      <c r="H9" s="42" t="n">
        <f aca="false">$B$9</f>
        <v>0.0385</v>
      </c>
      <c r="I9" s="3"/>
    </row>
    <row r="10" customFormat="false" ht="15" hidden="false" customHeight="true" outlineLevel="0" collapsed="false">
      <c r="A10" s="8" t="s">
        <v>523</v>
      </c>
      <c r="B10" s="3"/>
      <c r="C10" s="3"/>
      <c r="D10" s="19" t="n">
        <f aca="false">C12</f>
        <v>193.1</v>
      </c>
      <c r="E10" s="19" t="n">
        <f aca="false">D12</f>
        <v>195.4172</v>
      </c>
      <c r="F10" s="19" t="n">
        <f aca="false">E12</f>
        <v>198.9347096</v>
      </c>
      <c r="G10" s="19" t="n">
        <f aca="false">F12</f>
        <v>203.7091426304</v>
      </c>
      <c r="H10" s="19" t="n">
        <f aca="false">G12</f>
        <v>209.820416909312</v>
      </c>
      <c r="I10" s="3"/>
    </row>
    <row r="11" customFormat="false" ht="15" hidden="false" customHeight="true" outlineLevel="0" collapsed="false">
      <c r="A11" s="8" t="s">
        <v>524</v>
      </c>
      <c r="B11" s="3"/>
      <c r="C11" s="3"/>
      <c r="D11" s="19" t="n">
        <f aca="false">D10*(D9-D7)*12</f>
        <v>2.3172</v>
      </c>
      <c r="E11" s="19" t="n">
        <f aca="false">E10*(E9-E7)*12</f>
        <v>3.5175096</v>
      </c>
      <c r="F11" s="19" t="n">
        <f aca="false">F10*(F9-F7)*12</f>
        <v>4.7744330304</v>
      </c>
      <c r="G11" s="19" t="n">
        <f aca="false">G10*(G9-G7)*12</f>
        <v>6.11127427891201</v>
      </c>
      <c r="H11" s="19" t="n">
        <f aca="false">H10*(H9-H7)*12</f>
        <v>7.55353500873524</v>
      </c>
      <c r="I11" s="3"/>
    </row>
    <row r="12" customFormat="false" ht="15" hidden="false" customHeight="true" outlineLevel="0" collapsed="false">
      <c r="A12" s="6" t="s">
        <v>525</v>
      </c>
      <c r="B12" s="3"/>
      <c r="C12" s="60" t="n">
        <f aca="false">'0_Control_Panel'!$B$35</f>
        <v>193.1</v>
      </c>
      <c r="D12" s="60" t="n">
        <f aca="false">D10+D11</f>
        <v>195.4172</v>
      </c>
      <c r="E12" s="60" t="n">
        <f aca="false">E10+E11</f>
        <v>198.9347096</v>
      </c>
      <c r="F12" s="60" t="n">
        <f aca="false">F10+F11</f>
        <v>203.7091426304</v>
      </c>
      <c r="G12" s="60" t="n">
        <f aca="false">G10+G11</f>
        <v>209.820416909312</v>
      </c>
      <c r="H12" s="60" t="n">
        <f aca="false">H10+H11</f>
        <v>217.373951918047</v>
      </c>
      <c r="I12" s="3"/>
    </row>
    <row r="13" customFormat="false" ht="15" hidden="false" customHeight="true" outlineLevel="0" collapsed="false">
      <c r="A13" s="8" t="s">
        <v>526</v>
      </c>
      <c r="B13" s="3"/>
      <c r="C13" s="3"/>
      <c r="D13" s="19" t="n">
        <f aca="false">AVERAGE(D10,D12)</f>
        <v>194.2586</v>
      </c>
      <c r="E13" s="19" t="n">
        <f aca="false">AVERAGE(E10,E12)</f>
        <v>197.1759548</v>
      </c>
      <c r="F13" s="19" t="n">
        <f aca="false">AVERAGE(F10,F12)</f>
        <v>201.3219261152</v>
      </c>
      <c r="G13" s="19" t="n">
        <f aca="false">AVERAGE(G10,G12)</f>
        <v>206.764779769856</v>
      </c>
      <c r="H13" s="19" t="n">
        <f aca="false">AVERAGE(H10,H12)</f>
        <v>213.59718441368</v>
      </c>
      <c r="I13" s="3"/>
    </row>
    <row r="14" customFormat="false" ht="15" hidden="false" customHeight="true" outlineLevel="0" collapsed="false">
      <c r="A14" s="8" t="s">
        <v>527</v>
      </c>
      <c r="B14" s="3"/>
      <c r="C14" s="3"/>
      <c r="D14" s="42" t="n">
        <f aca="false">'0_Control_Panel'!$B$15</f>
        <v>0.07</v>
      </c>
      <c r="E14" s="42" t="n">
        <f aca="false">'0_Control_Panel'!$B$15</f>
        <v>0.07</v>
      </c>
      <c r="F14" s="42" t="n">
        <f aca="false">'0_Control_Panel'!$B$15</f>
        <v>0.07</v>
      </c>
      <c r="G14" s="42" t="n">
        <f aca="false">'0_Control_Panel'!$B$15</f>
        <v>0.07</v>
      </c>
      <c r="H14" s="42" t="n">
        <f aca="false">'0_Control_Panel'!$B$15</f>
        <v>0.07</v>
      </c>
      <c r="I14" s="3"/>
    </row>
    <row r="15" customFormat="false" ht="15" hidden="false" customHeight="true" outlineLevel="0" collapsed="false">
      <c r="A15" s="8" t="s">
        <v>528</v>
      </c>
      <c r="B15" s="3"/>
      <c r="C15" s="3"/>
      <c r="D15" s="42" t="n">
        <f aca="false">'0_Control_Panel'!$B$9*'0_Control_Panel'!$B$16</f>
        <v>0.005</v>
      </c>
      <c r="E15" s="42" t="n">
        <f aca="false">'0_Control_Panel'!$B$9*'0_Control_Panel'!$B$16</f>
        <v>0.005</v>
      </c>
      <c r="F15" s="42" t="n">
        <f aca="false">'0_Control_Panel'!$B$9*'0_Control_Panel'!$B$16</f>
        <v>0.005</v>
      </c>
      <c r="G15" s="42" t="n">
        <f aca="false">'0_Control_Panel'!$B$9*'0_Control_Panel'!$B$16</f>
        <v>0.005</v>
      </c>
      <c r="H15" s="42" t="n">
        <f aca="false">'0_Control_Panel'!$B$9*'0_Control_Panel'!$B$16</f>
        <v>0.005</v>
      </c>
      <c r="I15" s="3"/>
    </row>
    <row r="16" customFormat="false" ht="15" hidden="false" customHeight="true" outlineLevel="0" collapsed="false">
      <c r="A16" s="6" t="s">
        <v>529</v>
      </c>
      <c r="B16" s="3"/>
      <c r="C16" s="60" t="n">
        <f aca="false">'0_Control_Panel'!$B$36</f>
        <v>195</v>
      </c>
      <c r="D16" s="60" t="n">
        <f aca="false">C16*(1+D14+D15)</f>
        <v>209.625</v>
      </c>
      <c r="E16" s="60" t="n">
        <f aca="false">D16*(1+E14+E15)</f>
        <v>225.346875</v>
      </c>
      <c r="F16" s="60" t="n">
        <f aca="false">E16*(1+F14+F15)</f>
        <v>242.247890625</v>
      </c>
      <c r="G16" s="60" t="n">
        <f aca="false">F16*(1+G14+G15)</f>
        <v>260.416482421875</v>
      </c>
      <c r="H16" s="60" t="n">
        <f aca="false">G16*(1+H14+H15)</f>
        <v>279.947718603516</v>
      </c>
      <c r="I16" s="3"/>
    </row>
    <row r="17" customFormat="false" ht="15" hidden="false" customHeight="true" outlineLevel="0" collapsed="false">
      <c r="A17" s="8" t="s">
        <v>530</v>
      </c>
      <c r="B17" s="3"/>
      <c r="C17" s="16" t="n">
        <f aca="false">'0_Control_Panel'!$B$35*'0_Control_Panel'!$B$36*12/10</f>
        <v>45185.4</v>
      </c>
      <c r="D17" s="16" t="n">
        <f aca="false">D13*D16*12/10</f>
        <v>48865.75083</v>
      </c>
      <c r="E17" s="16" t="n">
        <f aca="false">E13*E16*12/10</f>
        <v>53319.5822871855</v>
      </c>
      <c r="F17" s="16" t="n">
        <f aca="false">F13*F16*12/10</f>
        <v>58523.7743255632</v>
      </c>
      <c r="G17" s="16" t="n">
        <f aca="false">G13*G16*12/10</f>
        <v>64613.9479636795</v>
      </c>
      <c r="H17" s="16" t="n">
        <f aca="false">H13*H16*12/10</f>
        <v>71755.2533720928</v>
      </c>
      <c r="I17" s="4" t="s">
        <v>531</v>
      </c>
    </row>
    <row r="18" customFormat="false" ht="15" hidden="false" customHeight="true" outlineLevel="0" collapsed="false">
      <c r="A18" s="8" t="s">
        <v>532</v>
      </c>
      <c r="B18" s="42" t="n">
        <f aca="false">C18/C17</f>
        <v>0.0347590150800922</v>
      </c>
      <c r="C18" s="16" t="n">
        <f aca="false">'0_Control_Panel'!$B$31*4-C17</f>
        <v>1570.6</v>
      </c>
      <c r="D18" s="16" t="n">
        <f aca="false">D17*$B$18</f>
        <v>1698.52537</v>
      </c>
      <c r="E18" s="16" t="n">
        <f aca="false">E17*$B$18</f>
        <v>1853.3361647845</v>
      </c>
      <c r="F18" s="16" t="n">
        <f aca="false">F17*$B$18</f>
        <v>2034.22875432616</v>
      </c>
      <c r="G18" s="16" t="n">
        <f aca="false">G17*$B$18</f>
        <v>2245.91719165383</v>
      </c>
      <c r="H18" s="16" t="n">
        <f aca="false">H17*$B$18</f>
        <v>2494.14193403641</v>
      </c>
      <c r="I18" s="3"/>
    </row>
    <row r="19" customFormat="false" ht="15" hidden="false" customHeight="true" outlineLevel="0" collapsed="false">
      <c r="A19" s="6" t="s">
        <v>533</v>
      </c>
      <c r="B19" s="3"/>
      <c r="C19" s="20" t="n">
        <f aca="false">C17+C18</f>
        <v>46756</v>
      </c>
      <c r="D19" s="20" t="n">
        <f aca="false">D17+D18</f>
        <v>50564.2762</v>
      </c>
      <c r="E19" s="20" t="n">
        <f aca="false">E17+E18</f>
        <v>55172.91845197</v>
      </c>
      <c r="F19" s="20" t="n">
        <f aca="false">F17+F18</f>
        <v>60558.0030798893</v>
      </c>
      <c r="G19" s="20" t="n">
        <f aca="false">G17+G18</f>
        <v>66859.8651553333</v>
      </c>
      <c r="H19" s="20" t="n">
        <f aca="false">H17+H18</f>
        <v>74249.3953061292</v>
      </c>
      <c r="I19" s="4" t="s">
        <v>534</v>
      </c>
    </row>
    <row r="20" customFormat="false" ht="15" hidden="false" customHeight="true" outlineLevel="0" collapsed="false">
      <c r="A20" s="8" t="s">
        <v>535</v>
      </c>
      <c r="B20" s="3"/>
      <c r="C20" s="3"/>
      <c r="D20" s="42" t="n">
        <f aca="false">D19/C19-1</f>
        <v>0.08145</v>
      </c>
      <c r="E20" s="42" t="n">
        <f aca="false">E19/D19-1</f>
        <v>0.0911442345924454</v>
      </c>
      <c r="F20" s="42" t="n">
        <f aca="false">F19/E19-1</f>
        <v>0.0976037661050546</v>
      </c>
      <c r="G20" s="42" t="n">
        <f aca="false">G19/F19-1</f>
        <v>0.104063241106719</v>
      </c>
      <c r="H20" s="42" t="n">
        <f aca="false">H19/G19-1</f>
        <v>0.110522660098522</v>
      </c>
      <c r="I20" s="3"/>
    </row>
    <row r="21" customFormat="false" ht="15" hidden="false" customHeight="true" outlineLevel="0" collapsed="false">
      <c r="A21" s="5" t="s">
        <v>536</v>
      </c>
      <c r="B21" s="5"/>
      <c r="C21" s="5"/>
      <c r="D21" s="5"/>
      <c r="E21" s="5"/>
      <c r="F21" s="5"/>
      <c r="G21" s="5"/>
      <c r="H21" s="5"/>
      <c r="I21" s="5"/>
    </row>
    <row r="22" customFormat="false" ht="15" hidden="false" customHeight="true" outlineLevel="0" collapsed="false">
      <c r="A22" s="8" t="s">
        <v>537</v>
      </c>
      <c r="B22" s="12" t="n">
        <v>0.006</v>
      </c>
      <c r="C22" s="12" t="n">
        <v>0.215</v>
      </c>
      <c r="D22" s="42" t="n">
        <f aca="false">C22-$B$22*'0_Control_Panel'!$B$18</f>
        <v>0.209</v>
      </c>
      <c r="E22" s="42" t="n">
        <f aca="false">D22-$B$22*'0_Control_Panel'!$B$18</f>
        <v>0.203</v>
      </c>
      <c r="F22" s="42" t="n">
        <f aca="false">E22-$B$22*'0_Control_Panel'!$B$18</f>
        <v>0.197</v>
      </c>
      <c r="G22" s="42" t="n">
        <f aca="false">F22-$B$22*'0_Control_Panel'!$B$18</f>
        <v>0.191</v>
      </c>
      <c r="H22" s="42" t="n">
        <f aca="false">G22-$B$22*'0_Control_Panel'!$B$18</f>
        <v>0.185</v>
      </c>
      <c r="I22" s="3"/>
    </row>
    <row r="23" customFormat="false" ht="15" hidden="false" customHeight="true" outlineLevel="0" collapsed="false">
      <c r="A23" s="8" t="s">
        <v>538</v>
      </c>
      <c r="B23" s="12" t="n">
        <v>0</v>
      </c>
      <c r="C23" s="12" t="n">
        <v>0.09</v>
      </c>
      <c r="D23" s="42" t="n">
        <f aca="false">C23-$B$23*'0_Control_Panel'!$B$18</f>
        <v>0.09</v>
      </c>
      <c r="E23" s="42" t="n">
        <f aca="false">D23-$B$23*'0_Control_Panel'!$B$18</f>
        <v>0.09</v>
      </c>
      <c r="F23" s="42" t="n">
        <f aca="false">E23-$B$23*'0_Control_Panel'!$B$18</f>
        <v>0.09</v>
      </c>
      <c r="G23" s="42" t="n">
        <f aca="false">F23-$B$23*'0_Control_Panel'!$B$18</f>
        <v>0.09</v>
      </c>
      <c r="H23" s="42" t="n">
        <f aca="false">G23-$B$23*'0_Control_Panel'!$B$18</f>
        <v>0.09</v>
      </c>
      <c r="I23" s="3"/>
    </row>
    <row r="24" customFormat="false" ht="15" hidden="false" customHeight="true" outlineLevel="0" collapsed="false">
      <c r="A24" s="8" t="s">
        <v>539</v>
      </c>
      <c r="B24" s="12" t="n">
        <v>0.001</v>
      </c>
      <c r="C24" s="12" t="n">
        <v>0.046</v>
      </c>
      <c r="D24" s="42" t="n">
        <f aca="false">C24-$B$24*'0_Control_Panel'!$B$18</f>
        <v>0.045</v>
      </c>
      <c r="E24" s="42" t="n">
        <f aca="false">D24-$B$24*'0_Control_Panel'!$B$18</f>
        <v>0.044</v>
      </c>
      <c r="F24" s="42" t="n">
        <f aca="false">E24-$B$24*'0_Control_Panel'!$B$18</f>
        <v>0.043</v>
      </c>
      <c r="G24" s="42" t="n">
        <f aca="false">F24-$B$24*'0_Control_Panel'!$B$18</f>
        <v>0.042</v>
      </c>
      <c r="H24" s="42" t="n">
        <f aca="false">G24-$B$24*'0_Control_Panel'!$B$18</f>
        <v>0.041</v>
      </c>
      <c r="I24" s="3"/>
    </row>
    <row r="25" customFormat="false" ht="15" hidden="false" customHeight="true" outlineLevel="0" collapsed="false">
      <c r="A25" s="8" t="s">
        <v>540</v>
      </c>
      <c r="B25" s="12" t="n">
        <v>0.004</v>
      </c>
      <c r="C25" s="12" t="n">
        <v>0.118</v>
      </c>
      <c r="D25" s="42" t="n">
        <f aca="false">C25-$B$25*'0_Control_Panel'!$B$18</f>
        <v>0.114</v>
      </c>
      <c r="E25" s="42" t="n">
        <f aca="false">D25-$B$25*'0_Control_Panel'!$B$18</f>
        <v>0.11</v>
      </c>
      <c r="F25" s="42" t="n">
        <f aca="false">E25-$B$25*'0_Control_Panel'!$B$18</f>
        <v>0.106</v>
      </c>
      <c r="G25" s="42" t="n">
        <f aca="false">F25-$B$25*'0_Control_Panel'!$B$18</f>
        <v>0.102</v>
      </c>
      <c r="H25" s="42" t="n">
        <f aca="false">G25-$B$25*'0_Control_Panel'!$B$18</f>
        <v>0.098</v>
      </c>
      <c r="I25" s="3"/>
    </row>
    <row r="26" customFormat="false" ht="15" hidden="false" customHeight="true" outlineLevel="0" collapsed="false">
      <c r="A26" s="8" t="s">
        <v>307</v>
      </c>
      <c r="B26" s="12" t="n">
        <v>0.002</v>
      </c>
      <c r="C26" s="12" t="n">
        <v>0.1</v>
      </c>
      <c r="D26" s="42" t="n">
        <f aca="false">C26-$B$26*'0_Control_Panel'!$B$18</f>
        <v>0.098</v>
      </c>
      <c r="E26" s="42" t="n">
        <f aca="false">D26-$B$26*'0_Control_Panel'!$B$18</f>
        <v>0.096</v>
      </c>
      <c r="F26" s="42" t="n">
        <f aca="false">E26-$B$26*'0_Control_Panel'!$B$18</f>
        <v>0.094</v>
      </c>
      <c r="G26" s="42" t="n">
        <f aca="false">F26-$B$26*'0_Control_Panel'!$B$18</f>
        <v>0.092</v>
      </c>
      <c r="H26" s="42" t="n">
        <f aca="false">G26-$B$26*'0_Control_Panel'!$B$18</f>
        <v>0.09</v>
      </c>
      <c r="I26" s="3"/>
    </row>
    <row r="27" customFormat="false" ht="15" hidden="false" customHeight="true" outlineLevel="0" collapsed="false">
      <c r="A27" s="6" t="s">
        <v>541</v>
      </c>
      <c r="B27" s="3"/>
      <c r="C27" s="13" t="n">
        <f aca="false">SUM(C22:C26)</f>
        <v>0.569</v>
      </c>
      <c r="D27" s="13" t="n">
        <f aca="false">SUM(D22:D26)</f>
        <v>0.556</v>
      </c>
      <c r="E27" s="13" t="n">
        <f aca="false">SUM(E22:E26)</f>
        <v>0.543</v>
      </c>
      <c r="F27" s="13" t="n">
        <f aca="false">SUM(F22:F26)</f>
        <v>0.53</v>
      </c>
      <c r="G27" s="13" t="n">
        <f aca="false">SUM(G22:G26)</f>
        <v>0.517</v>
      </c>
      <c r="H27" s="13" t="n">
        <f aca="false">SUM(H22:H26)</f>
        <v>0.504</v>
      </c>
      <c r="I27" s="3"/>
    </row>
    <row r="28" customFormat="false" ht="15" hidden="false" customHeight="true" outlineLevel="0" collapsed="false">
      <c r="A28" s="5" t="s">
        <v>542</v>
      </c>
      <c r="B28" s="5"/>
      <c r="C28" s="5"/>
      <c r="D28" s="5"/>
      <c r="E28" s="5"/>
      <c r="F28" s="5"/>
      <c r="G28" s="5"/>
      <c r="H28" s="5"/>
      <c r="I28" s="5"/>
    </row>
    <row r="29" customFormat="false" ht="15" hidden="false" customHeight="true" outlineLevel="0" collapsed="false">
      <c r="A29" s="6" t="s">
        <v>543</v>
      </c>
      <c r="B29" s="3"/>
      <c r="C29" s="20" t="n">
        <f aca="false">C19</f>
        <v>46756</v>
      </c>
      <c r="D29" s="20" t="n">
        <f aca="false">D19</f>
        <v>50564.2762</v>
      </c>
      <c r="E29" s="20" t="n">
        <f aca="false">E19</f>
        <v>55172.91845197</v>
      </c>
      <c r="F29" s="20" t="n">
        <f aca="false">F19</f>
        <v>60558.0030798893</v>
      </c>
      <c r="G29" s="20" t="n">
        <f aca="false">G19</f>
        <v>66859.8651553333</v>
      </c>
      <c r="H29" s="20" t="n">
        <f aca="false">H19</f>
        <v>74249.3953061292</v>
      </c>
      <c r="I29" s="3"/>
    </row>
    <row r="30" customFormat="false" ht="15" hidden="false" customHeight="true" outlineLevel="0" collapsed="false">
      <c r="A30" s="61" t="s">
        <v>544</v>
      </c>
      <c r="B30" s="3"/>
      <c r="C30" s="16" t="n">
        <f aca="false">-C19*C22</f>
        <v>-10052.54</v>
      </c>
      <c r="D30" s="16" t="n">
        <f aca="false">-D19*D22</f>
        <v>-10567.9337258</v>
      </c>
      <c r="E30" s="16" t="n">
        <f aca="false">-E19*E22</f>
        <v>-11200.1024457499</v>
      </c>
      <c r="F30" s="16" t="n">
        <f aca="false">-F19*F22</f>
        <v>-11929.9266067382</v>
      </c>
      <c r="G30" s="16" t="n">
        <f aca="false">-G19*G22</f>
        <v>-12770.2342446687</v>
      </c>
      <c r="H30" s="16" t="n">
        <f aca="false">-H19*H22</f>
        <v>-13736.1381316339</v>
      </c>
      <c r="I30" s="3"/>
    </row>
    <row r="31" customFormat="false" ht="15" hidden="false" customHeight="true" outlineLevel="0" collapsed="false">
      <c r="A31" s="61" t="s">
        <v>538</v>
      </c>
      <c r="B31" s="3"/>
      <c r="C31" s="16" t="n">
        <f aca="false">-C19*C23</f>
        <v>-4208.04</v>
      </c>
      <c r="D31" s="16" t="n">
        <f aca="false">-D19*D23</f>
        <v>-4550.784858</v>
      </c>
      <c r="E31" s="16" t="n">
        <f aca="false">-E19*E23</f>
        <v>-4965.5626606773</v>
      </c>
      <c r="F31" s="16" t="n">
        <f aca="false">-F19*F23</f>
        <v>-5450.22027719004</v>
      </c>
      <c r="G31" s="16" t="n">
        <f aca="false">-G19*G23</f>
        <v>-6017.38786398</v>
      </c>
      <c r="H31" s="16" t="n">
        <f aca="false">-H19*H23</f>
        <v>-6682.44557755163</v>
      </c>
      <c r="I31" s="3"/>
    </row>
    <row r="32" customFormat="false" ht="15" hidden="false" customHeight="true" outlineLevel="0" collapsed="false">
      <c r="A32" s="61" t="s">
        <v>305</v>
      </c>
      <c r="B32" s="3"/>
      <c r="C32" s="16" t="n">
        <f aca="false">-C19*C24</f>
        <v>-2150.776</v>
      </c>
      <c r="D32" s="16" t="n">
        <f aca="false">-D19*D24</f>
        <v>-2275.392429</v>
      </c>
      <c r="E32" s="16" t="n">
        <f aca="false">-E19*E24</f>
        <v>-2427.60841188668</v>
      </c>
      <c r="F32" s="16" t="n">
        <f aca="false">-F19*F24</f>
        <v>-2603.99413243524</v>
      </c>
      <c r="G32" s="16" t="n">
        <f aca="false">-G19*G24</f>
        <v>-2808.114336524</v>
      </c>
      <c r="H32" s="16" t="n">
        <f aca="false">-H19*H24</f>
        <v>-3044.2252075513</v>
      </c>
      <c r="I32" s="3"/>
    </row>
    <row r="33" customFormat="false" ht="15" hidden="false" customHeight="true" outlineLevel="0" collapsed="false">
      <c r="A33" s="61" t="s">
        <v>545</v>
      </c>
      <c r="B33" s="3"/>
      <c r="C33" s="16" t="n">
        <f aca="false">-C19*C25</f>
        <v>-5517.208</v>
      </c>
      <c r="D33" s="16" t="n">
        <f aca="false">-D19*D25</f>
        <v>-5764.3274868</v>
      </c>
      <c r="E33" s="16" t="n">
        <f aca="false">-E19*E25</f>
        <v>-6069.0210297167</v>
      </c>
      <c r="F33" s="16" t="n">
        <f aca="false">-F19*F25</f>
        <v>-6419.14832646827</v>
      </c>
      <c r="G33" s="16" t="n">
        <f aca="false">-G19*G25</f>
        <v>-6819.706245844</v>
      </c>
      <c r="H33" s="16" t="n">
        <f aca="false">-H19*H25</f>
        <v>-7276.44074000066</v>
      </c>
      <c r="I33" s="3"/>
    </row>
    <row r="34" customFormat="false" ht="15" hidden="false" customHeight="true" outlineLevel="0" collapsed="false">
      <c r="A34" s="61" t="s">
        <v>546</v>
      </c>
      <c r="B34" s="3"/>
      <c r="C34" s="16" t="n">
        <f aca="false">-C19*C26</f>
        <v>-4675.6</v>
      </c>
      <c r="D34" s="16" t="n">
        <f aca="false">-D19*D26</f>
        <v>-4955.2990676</v>
      </c>
      <c r="E34" s="16" t="n">
        <f aca="false">-E19*E26</f>
        <v>-5296.60017138912</v>
      </c>
      <c r="F34" s="16" t="n">
        <f aca="false">-F19*F26</f>
        <v>-5692.4522895096</v>
      </c>
      <c r="G34" s="16" t="n">
        <f aca="false">-G19*G26</f>
        <v>-6151.10759429066</v>
      </c>
      <c r="H34" s="16" t="n">
        <f aca="false">-H19*H26</f>
        <v>-6682.44557755163</v>
      </c>
      <c r="I34" s="3"/>
    </row>
    <row r="35" customFormat="false" ht="15" hidden="false" customHeight="true" outlineLevel="0" collapsed="false">
      <c r="A35" s="6" t="s">
        <v>547</v>
      </c>
      <c r="B35" s="3"/>
      <c r="C35" s="20" t="n">
        <f aca="false">SUM(C29:C34)</f>
        <v>20151.836</v>
      </c>
      <c r="D35" s="20" t="n">
        <f aca="false">SUM(D29:D34)</f>
        <v>22450.5386328</v>
      </c>
      <c r="E35" s="20" t="n">
        <f aca="false">SUM(E29:E34)</f>
        <v>25214.0237325503</v>
      </c>
      <c r="F35" s="20" t="n">
        <f aca="false">SUM(F29:F34)</f>
        <v>28462.261447548</v>
      </c>
      <c r="G35" s="20" t="n">
        <f aca="false">SUM(G29:G34)</f>
        <v>32293.314870026</v>
      </c>
      <c r="H35" s="20" t="n">
        <f aca="false">SUM(H29:H34)</f>
        <v>36827.7000718401</v>
      </c>
      <c r="I35" s="4" t="s">
        <v>548</v>
      </c>
    </row>
    <row r="36" customFormat="false" ht="15" hidden="false" customHeight="true" outlineLevel="0" collapsed="false">
      <c r="A36" s="8" t="s">
        <v>549</v>
      </c>
      <c r="B36" s="3"/>
      <c r="C36" s="42" t="n">
        <f aca="false">C35/C19</f>
        <v>0.431</v>
      </c>
      <c r="D36" s="42" t="n">
        <f aca="false">D35/D19</f>
        <v>0.444</v>
      </c>
      <c r="E36" s="42" t="n">
        <f aca="false">E35/E19</f>
        <v>0.457</v>
      </c>
      <c r="F36" s="42" t="n">
        <f aca="false">F35/F19</f>
        <v>0.47</v>
      </c>
      <c r="G36" s="42" t="n">
        <f aca="false">G35/G19</f>
        <v>0.483</v>
      </c>
      <c r="H36" s="42" t="n">
        <f aca="false">H35/H19</f>
        <v>0.496</v>
      </c>
      <c r="I36" s="3"/>
    </row>
    <row r="37" customFormat="false" ht="15" hidden="false" customHeight="true" outlineLevel="0" collapsed="false">
      <c r="A37" s="8" t="s">
        <v>550</v>
      </c>
      <c r="B37" s="12" t="n">
        <v>0.03</v>
      </c>
      <c r="C37" s="3"/>
      <c r="D37" s="42" t="n">
        <f aca="false">$B$37+'0_Control_Panel'!$B$9*0.02</f>
        <v>0.05</v>
      </c>
      <c r="E37" s="42" t="n">
        <f aca="false">$B$37+'0_Control_Panel'!$B$9*0.02</f>
        <v>0.05</v>
      </c>
      <c r="F37" s="42" t="n">
        <f aca="false">$B$37+'0_Control_Panel'!$B$9*0.02</f>
        <v>0.05</v>
      </c>
      <c r="G37" s="42" t="n">
        <f aca="false">$B$37+'0_Control_Panel'!$B$9*0.02</f>
        <v>0.05</v>
      </c>
      <c r="H37" s="42" t="n">
        <f aca="false">$B$37+'0_Control_Panel'!$B$9*0.02</f>
        <v>0.05</v>
      </c>
      <c r="I37" s="3"/>
    </row>
    <row r="38" customFormat="false" ht="15" hidden="false" customHeight="true" outlineLevel="0" collapsed="false">
      <c r="A38" s="8" t="s">
        <v>551</v>
      </c>
      <c r="B38" s="3"/>
      <c r="C38" s="16" t="n">
        <f aca="false">('0_Control_Panel'!$B$32-'0_Control_Panel'!$B$33)*4</f>
        <v>10236</v>
      </c>
      <c r="D38" s="16" t="n">
        <f aca="false">C38*(1+D37)</f>
        <v>10747.8</v>
      </c>
      <c r="E38" s="16" t="n">
        <f aca="false">D38*(1+E37)</f>
        <v>11285.19</v>
      </c>
      <c r="F38" s="16" t="n">
        <f aca="false">E38*(1+F37)</f>
        <v>11849.4495</v>
      </c>
      <c r="G38" s="16" t="n">
        <f aca="false">F38*(1+G37)</f>
        <v>12441.921975</v>
      </c>
      <c r="H38" s="16" t="n">
        <f aca="false">G38*(1+H37)</f>
        <v>13064.01807375</v>
      </c>
      <c r="I38" s="3"/>
    </row>
    <row r="39" customFormat="false" ht="15" hidden="false" customHeight="true" outlineLevel="0" collapsed="false">
      <c r="A39" s="6" t="s">
        <v>552</v>
      </c>
      <c r="B39" s="3"/>
      <c r="C39" s="20" t="n">
        <f aca="false">C35-C38</f>
        <v>9915.836</v>
      </c>
      <c r="D39" s="20" t="n">
        <f aca="false">D35-D38</f>
        <v>11702.7386328</v>
      </c>
      <c r="E39" s="20" t="n">
        <f aca="false">E35-E38</f>
        <v>13928.8337325503</v>
      </c>
      <c r="F39" s="20" t="n">
        <f aca="false">F35-F38</f>
        <v>16612.811947548</v>
      </c>
      <c r="G39" s="20" t="n">
        <f aca="false">G35-G38</f>
        <v>19851.392895026</v>
      </c>
      <c r="H39" s="20" t="n">
        <f aca="false">H35-H38</f>
        <v>23763.6819980901</v>
      </c>
      <c r="I39" s="4" t="s">
        <v>553</v>
      </c>
    </row>
    <row r="40" customFormat="false" ht="15" hidden="false" customHeight="true" outlineLevel="0" collapsed="false">
      <c r="A40" s="61" t="s">
        <v>554</v>
      </c>
      <c r="B40" s="12" t="n">
        <v>0.22</v>
      </c>
      <c r="C40" s="3"/>
      <c r="D40" s="16" t="n">
        <f aca="false">-C67*$B$40</f>
        <v>-8360</v>
      </c>
      <c r="E40" s="16" t="n">
        <f aca="false">-D67*$B$40</f>
        <v>-9380.8</v>
      </c>
      <c r="F40" s="16" t="n">
        <f aca="false">-E67*$B$40</f>
        <v>-10727.024</v>
      </c>
      <c r="G40" s="16" t="n">
        <f aca="false">-F67*$B$40</f>
        <v>-11777.07872</v>
      </c>
      <c r="H40" s="16" t="n">
        <f aca="false">-G67*$B$40</f>
        <v>-11826.1214016</v>
      </c>
      <c r="I40" s="3"/>
    </row>
    <row r="41" customFormat="false" ht="15" hidden="false" customHeight="true" outlineLevel="0" collapsed="false">
      <c r="A41" s="61" t="s">
        <v>555</v>
      </c>
      <c r="B41" s="12" t="n">
        <v>0.09</v>
      </c>
      <c r="C41" s="3"/>
      <c r="D41" s="16" t="n">
        <f aca="false">-C68*$B$41</f>
        <v>-8550</v>
      </c>
      <c r="E41" s="16" t="n">
        <f aca="false">-D68*$B$41</f>
        <v>-7780.5</v>
      </c>
      <c r="F41" s="16" t="n">
        <f aca="false">-E68*$B$41</f>
        <v>-7080.255</v>
      </c>
      <c r="G41" s="16" t="n">
        <f aca="false">-F68*$B$41</f>
        <v>-6443.03205</v>
      </c>
      <c r="H41" s="16" t="n">
        <f aca="false">-G68*$B$41</f>
        <v>-5863.1591655</v>
      </c>
      <c r="I41" s="3"/>
    </row>
    <row r="42" customFormat="false" ht="15" hidden="false" customHeight="true" outlineLevel="0" collapsed="false">
      <c r="A42" s="61" t="s">
        <v>556</v>
      </c>
      <c r="B42" s="12" t="n">
        <v>0.3</v>
      </c>
      <c r="C42" s="3"/>
      <c r="D42" s="16" t="n">
        <f aca="false">-C69*$B$42</f>
        <v>-4500</v>
      </c>
      <c r="E42" s="16" t="n">
        <f aca="false">-D69*$B$42</f>
        <v>-6111.09</v>
      </c>
      <c r="F42" s="16" t="n">
        <f aca="false">-E69*$B$42</f>
        <v>-7386.9075</v>
      </c>
      <c r="G42" s="16" t="n">
        <f aca="false">-F69*$B$42</f>
        <v>-8435.436975</v>
      </c>
      <c r="H42" s="16" t="n">
        <f aca="false">-G69*$B$42</f>
        <v>-9332.63769375</v>
      </c>
      <c r="I42" s="3"/>
    </row>
    <row r="43" customFormat="false" ht="15" hidden="false" customHeight="true" outlineLevel="0" collapsed="false">
      <c r="A43" s="6" t="s">
        <v>557</v>
      </c>
      <c r="B43" s="3"/>
      <c r="C43" s="3"/>
      <c r="D43" s="20" t="n">
        <f aca="false">D35+SUM(D40:D42)</f>
        <v>1040.5386328</v>
      </c>
      <c r="E43" s="20" t="n">
        <f aca="false">E35+SUM(E40:E42)</f>
        <v>1941.63373255029</v>
      </c>
      <c r="F43" s="20" t="n">
        <f aca="false">F35+SUM(F40:F42)</f>
        <v>3268.07494754799</v>
      </c>
      <c r="G43" s="20" t="n">
        <f aca="false">G35+SUM(G40:G42)</f>
        <v>5637.76712502599</v>
      </c>
      <c r="H43" s="20" t="n">
        <f aca="false">H35+SUM(H40:H42)</f>
        <v>9805.7818109901</v>
      </c>
      <c r="I43" s="3"/>
    </row>
    <row r="44" customFormat="false" ht="15" hidden="false" customHeight="true" outlineLevel="0" collapsed="false">
      <c r="A44" s="61" t="s">
        <v>558</v>
      </c>
      <c r="B44" s="3"/>
      <c r="C44" s="3"/>
      <c r="D44" s="16" t="n">
        <f aca="false">-'2_Capital_Structure_Waterfall'!D51</f>
        <v>-7817.94</v>
      </c>
      <c r="E44" s="16" t="n">
        <f aca="false">-'2_Capital_Structure_Waterfall'!E51</f>
        <v>-8404.2855</v>
      </c>
      <c r="F44" s="16" t="n">
        <f aca="false">-'2_Capital_Structure_Waterfall'!F51</f>
        <v>-9034.6069125</v>
      </c>
      <c r="G44" s="16" t="n">
        <f aca="false">-'2_Capital_Structure_Waterfall'!G51</f>
        <v>-9712.2024309375</v>
      </c>
      <c r="H44" s="16" t="n">
        <f aca="false">-'2_Capital_Structure_Waterfall'!H51</f>
        <v>-10440.6176132578</v>
      </c>
      <c r="I44" s="3"/>
    </row>
    <row r="45" customFormat="false" ht="15" hidden="false" customHeight="true" outlineLevel="0" collapsed="false">
      <c r="A45" s="61" t="s">
        <v>559</v>
      </c>
      <c r="B45" s="3"/>
      <c r="C45" s="3"/>
      <c r="D45" s="16" t="n">
        <f aca="false">-'2_Capital_Structure_Waterfall'!D58</f>
        <v>-1255.75125</v>
      </c>
      <c r="E45" s="16" t="n">
        <f aca="false">-'2_Capital_Structure_Waterfall'!E58</f>
        <v>-1331.33008125</v>
      </c>
      <c r="F45" s="16" t="n">
        <f aca="false">-'2_Capital_Structure_Waterfall'!F58</f>
        <v>-1411.82153653125</v>
      </c>
      <c r="G45" s="16" t="n">
        <f aca="false">-'2_Capital_Structure_Waterfall'!G58</f>
        <v>-1497.54493640578</v>
      </c>
      <c r="H45" s="16" t="n">
        <f aca="false">-'2_Capital_Structure_Waterfall'!H58</f>
        <v>-1588.84035727216</v>
      </c>
      <c r="I45" s="3"/>
    </row>
    <row r="46" customFormat="false" ht="15" hidden="false" customHeight="true" outlineLevel="0" collapsed="false">
      <c r="A46" s="61" t="s">
        <v>560</v>
      </c>
      <c r="B46" s="12" t="n">
        <v>0.095</v>
      </c>
      <c r="C46" s="3"/>
      <c r="D46" s="16" t="n">
        <f aca="false">-C77*$B$46</f>
        <v>-1852.5</v>
      </c>
      <c r="E46" s="16" t="n">
        <f aca="false">-D77*$B$46</f>
        <v>-1945.125</v>
      </c>
      <c r="F46" s="16" t="n">
        <f aca="false">-E77*$B$46</f>
        <v>-2042.38125</v>
      </c>
      <c r="G46" s="16" t="n">
        <f aca="false">-F77*$B$46</f>
        <v>-2144.5003125</v>
      </c>
      <c r="H46" s="16" t="n">
        <f aca="false">-G77*$B$46</f>
        <v>-2251.725328125</v>
      </c>
      <c r="I46" s="3"/>
    </row>
    <row r="47" customFormat="false" ht="15" hidden="false" customHeight="true" outlineLevel="0" collapsed="false">
      <c r="A47" s="61" t="s">
        <v>561</v>
      </c>
      <c r="B47" s="3"/>
      <c r="C47" s="3"/>
      <c r="D47" s="16" t="n">
        <f aca="false">-'2_Capital_Structure_Waterfall'!D68</f>
        <v>-22.155</v>
      </c>
      <c r="E47" s="16" t="n">
        <f aca="false">-'2_Capital_Structure_Waterfall'!E68</f>
        <v>-18.4625</v>
      </c>
      <c r="F47" s="16" t="n">
        <f aca="false">-'2_Capital_Structure_Waterfall'!F68</f>
        <v>-14.77</v>
      </c>
      <c r="G47" s="16" t="n">
        <f aca="false">-'2_Capital_Structure_Waterfall'!G68</f>
        <v>-11.0775</v>
      </c>
      <c r="H47" s="16" t="n">
        <f aca="false">-'2_Capital_Structure_Waterfall'!H68</f>
        <v>-7.385</v>
      </c>
      <c r="I47" s="3"/>
    </row>
    <row r="48" customFormat="false" ht="15" hidden="false" customHeight="true" outlineLevel="0" collapsed="false">
      <c r="A48" s="61" t="s">
        <v>562</v>
      </c>
      <c r="B48" s="3"/>
      <c r="C48" s="3"/>
      <c r="D48" s="16" t="n">
        <f aca="false">-'2_Capital_Structure_Waterfall'!D76</f>
        <v>-1537.5</v>
      </c>
      <c r="E48" s="16" t="n">
        <f aca="false">-'2_Capital_Structure_Waterfall'!E76</f>
        <v>-1537.5</v>
      </c>
      <c r="F48" s="16" t="n">
        <f aca="false">-'2_Capital_Structure_Waterfall'!F76</f>
        <v>-1537.5</v>
      </c>
      <c r="G48" s="16" t="n">
        <f aca="false">-'2_Capital_Structure_Waterfall'!G76</f>
        <v>-1383.75</v>
      </c>
      <c r="H48" s="16" t="n">
        <f aca="false">-'2_Capital_Structure_Waterfall'!H76</f>
        <v>-1230</v>
      </c>
      <c r="I48" s="3"/>
    </row>
    <row r="49" customFormat="false" ht="15" hidden="false" customHeight="true" outlineLevel="0" collapsed="false">
      <c r="A49" s="61" t="s">
        <v>563</v>
      </c>
      <c r="B49" s="3"/>
      <c r="C49" s="3"/>
      <c r="D49" s="16" t="n">
        <f aca="false">-'2_Capital_Structure_Waterfall'!D83</f>
        <v>-354.75</v>
      </c>
      <c r="E49" s="16" t="n">
        <f aca="false">-'2_Capital_Structure_Waterfall'!E83</f>
        <v>-354.75</v>
      </c>
      <c r="F49" s="16" t="n">
        <f aca="false">-'2_Capital_Structure_Waterfall'!F83</f>
        <v>-354.75</v>
      </c>
      <c r="G49" s="16" t="n">
        <f aca="false">-'2_Capital_Structure_Waterfall'!G83</f>
        <v>-354.75</v>
      </c>
      <c r="H49" s="16" t="n">
        <f aca="false">-'2_Capital_Structure_Waterfall'!H83</f>
        <v>-354.75</v>
      </c>
      <c r="I49" s="3"/>
    </row>
    <row r="50" customFormat="false" ht="15" hidden="false" customHeight="true" outlineLevel="0" collapsed="false">
      <c r="A50" s="61" t="s">
        <v>564</v>
      </c>
      <c r="B50" s="12" t="n">
        <v>0.11</v>
      </c>
      <c r="C50" s="3"/>
      <c r="D50" s="16" t="n">
        <f aca="false">-C76*$B$50</f>
        <v>-0</v>
      </c>
      <c r="E50" s="16" t="n">
        <f aca="false">-D76*$B$50</f>
        <v>-0</v>
      </c>
      <c r="F50" s="16" t="n">
        <f aca="false">-E76*$B$50</f>
        <v>-0</v>
      </c>
      <c r="G50" s="16" t="n">
        <f aca="false">-F76*$B$50</f>
        <v>-0</v>
      </c>
      <c r="H50" s="16" t="n">
        <f aca="false">-G76*$B$50</f>
        <v>-0</v>
      </c>
      <c r="I50" s="3"/>
    </row>
    <row r="51" customFormat="false" ht="15" hidden="false" customHeight="true" outlineLevel="0" collapsed="false">
      <c r="A51" s="61" t="s">
        <v>565</v>
      </c>
      <c r="B51" s="12" t="n">
        <v>0.06</v>
      </c>
      <c r="C51" s="3"/>
      <c r="D51" s="16" t="n">
        <f aca="false">C64*$B$51</f>
        <v>393.48</v>
      </c>
      <c r="E51" s="16" t="n">
        <f aca="false">D64*$B$51</f>
        <v>2061.59562254447</v>
      </c>
      <c r="F51" s="16" t="n">
        <f aca="false">E64*$B$51</f>
        <v>1956.08908119789</v>
      </c>
      <c r="G51" s="16" t="n">
        <f aca="false">F64*$B$51</f>
        <v>1854.2811811799</v>
      </c>
      <c r="H51" s="16" t="n">
        <f aca="false">G64*$B$51</f>
        <v>2076.59886484241</v>
      </c>
      <c r="I51" s="3"/>
    </row>
    <row r="52" customFormat="false" ht="15" hidden="false" customHeight="true" outlineLevel="0" collapsed="false">
      <c r="A52" s="61" t="s">
        <v>566</v>
      </c>
      <c r="B52" s="3"/>
      <c r="C52" s="3"/>
      <c r="D52" s="16" t="n">
        <f aca="false">'2_Capital_Structure_Waterfall'!$O$29</f>
        <v>0</v>
      </c>
      <c r="E52" s="16" t="n">
        <f aca="false">0</f>
        <v>0</v>
      </c>
      <c r="F52" s="16" t="n">
        <f aca="false">0</f>
        <v>0</v>
      </c>
      <c r="G52" s="16" t="n">
        <f aca="false">0</f>
        <v>0</v>
      </c>
      <c r="H52" s="16" t="n">
        <f aca="false">0</f>
        <v>0</v>
      </c>
      <c r="I52" s="3"/>
    </row>
    <row r="53" customFormat="false" ht="15" hidden="false" customHeight="true" outlineLevel="0" collapsed="false">
      <c r="A53" s="61" t="s">
        <v>567</v>
      </c>
      <c r="B53" s="3"/>
      <c r="C53" s="3"/>
      <c r="D53" s="16" t="n">
        <f aca="false">-'0_Control_Panel'!$E$85</f>
        <v>-150</v>
      </c>
      <c r="E53" s="16" t="n">
        <f aca="false">0</f>
        <v>0</v>
      </c>
      <c r="F53" s="16" t="n">
        <f aca="false">0</f>
        <v>0</v>
      </c>
      <c r="G53" s="16" t="n">
        <f aca="false">0</f>
        <v>0</v>
      </c>
      <c r="H53" s="16" t="n">
        <f aca="false">0</f>
        <v>0</v>
      </c>
      <c r="I53" s="3"/>
    </row>
    <row r="54" customFormat="false" ht="15" hidden="false" customHeight="true" outlineLevel="0" collapsed="false">
      <c r="A54" s="6" t="s">
        <v>568</v>
      </c>
      <c r="B54" s="3"/>
      <c r="C54" s="3"/>
      <c r="D54" s="20" t="n">
        <f aca="false">D43+SUM(D44:D53)</f>
        <v>-11556.5776172</v>
      </c>
      <c r="E54" s="20" t="n">
        <f aca="false">E43+SUM(E44:E53)</f>
        <v>-9588.22372615524</v>
      </c>
      <c r="F54" s="20" t="n">
        <f aca="false">F43+SUM(F44:F53)</f>
        <v>-9171.66567028537</v>
      </c>
      <c r="G54" s="20" t="n">
        <f aca="false">G43+SUM(G44:G53)</f>
        <v>-7611.7768736374</v>
      </c>
      <c r="H54" s="20" t="n">
        <f aca="false">H43+SUM(H44:H53)</f>
        <v>-3990.93762282246</v>
      </c>
      <c r="I54" s="3"/>
    </row>
    <row r="55" customFormat="false" ht="15" hidden="false" customHeight="true" outlineLevel="0" collapsed="false">
      <c r="A55" s="8" t="s">
        <v>569</v>
      </c>
      <c r="B55" s="10" t="n">
        <v>1</v>
      </c>
      <c r="C55" s="3"/>
      <c r="D55" s="3"/>
      <c r="E55" s="3"/>
      <c r="F55" s="3"/>
      <c r="G55" s="3"/>
      <c r="H55" s="3"/>
      <c r="I55" s="3"/>
    </row>
    <row r="56" customFormat="false" ht="15" hidden="false" customHeight="true" outlineLevel="0" collapsed="false">
      <c r="A56" s="8" t="s">
        <v>570</v>
      </c>
      <c r="B56" s="12" t="n">
        <v>0.2517</v>
      </c>
      <c r="C56" s="3"/>
      <c r="D56" s="16" t="n">
        <f aca="false">IF($B$55=1,0,-MAX(0,D54)*$B$56)</f>
        <v>0</v>
      </c>
      <c r="E56" s="16" t="n">
        <f aca="false">IF($B$55=1,0,-MAX(0,E54)*$B$56)</f>
        <v>0</v>
      </c>
      <c r="F56" s="16" t="n">
        <f aca="false">IF($B$55=1,0,-MAX(0,F54)*$B$56)</f>
        <v>0</v>
      </c>
      <c r="G56" s="16" t="n">
        <f aca="false">IF($B$55=1,0,-MAX(0,G54)*$B$56)</f>
        <v>0</v>
      </c>
      <c r="H56" s="16" t="n">
        <f aca="false">IF($B$55=1,0,-MAX(0,H54)*$B$56)</f>
        <v>0</v>
      </c>
      <c r="I56" s="3"/>
    </row>
    <row r="57" customFormat="false" ht="15" hidden="false" customHeight="true" outlineLevel="0" collapsed="false">
      <c r="A57" s="6" t="s">
        <v>571</v>
      </c>
      <c r="B57" s="3"/>
      <c r="C57" s="3"/>
      <c r="D57" s="20" t="n">
        <f aca="false">D54+D56</f>
        <v>-11556.5776172</v>
      </c>
      <c r="E57" s="20" t="n">
        <f aca="false">E54+E56</f>
        <v>-9588.22372615524</v>
      </c>
      <c r="F57" s="20" t="n">
        <f aca="false">F54+F56</f>
        <v>-9171.66567028537</v>
      </c>
      <c r="G57" s="20" t="n">
        <f aca="false">G54+G56</f>
        <v>-7611.7768736374</v>
      </c>
      <c r="H57" s="20" t="n">
        <f aca="false">H54+H56</f>
        <v>-3990.93762282246</v>
      </c>
      <c r="I57" s="3"/>
    </row>
    <row r="58" customFormat="false" ht="15" hidden="false" customHeight="true" outlineLevel="0" collapsed="false">
      <c r="A58" s="5" t="s">
        <v>572</v>
      </c>
      <c r="B58" s="5"/>
      <c r="C58" s="5"/>
      <c r="D58" s="5"/>
      <c r="E58" s="5"/>
      <c r="F58" s="5"/>
      <c r="G58" s="5"/>
      <c r="H58" s="5"/>
      <c r="I58" s="5"/>
    </row>
    <row r="59" customFormat="false" ht="15" hidden="false" customHeight="true" outlineLevel="0" collapsed="false">
      <c r="A59" s="8" t="s">
        <v>573</v>
      </c>
      <c r="B59" s="3"/>
      <c r="C59" s="16" t="n">
        <f aca="false">'0_Control_Panel'!$B$34*4</f>
        <v>7720</v>
      </c>
      <c r="D59" s="14" t="n">
        <f aca="false">9000</f>
        <v>9000</v>
      </c>
      <c r="E59" s="14" t="n">
        <f aca="false">10000</f>
        <v>10000</v>
      </c>
      <c r="F59" s="14" t="n">
        <f aca="false">10000</f>
        <v>10000</v>
      </c>
      <c r="G59" s="14" t="n">
        <f aca="false">8000</f>
        <v>8000</v>
      </c>
      <c r="H59" s="14" t="n">
        <f aca="false">8000</f>
        <v>8000</v>
      </c>
      <c r="I59" s="3"/>
    </row>
    <row r="60" customFormat="false" ht="15" hidden="false" customHeight="true" outlineLevel="0" collapsed="false">
      <c r="A60" s="8" t="s">
        <v>574</v>
      </c>
      <c r="B60" s="3"/>
      <c r="C60" s="3"/>
      <c r="D60" s="16" t="n">
        <f aca="false">4000*'0_Control_Panel'!$B$9*'0_Control_Panel'!$B$10</f>
        <v>4000</v>
      </c>
      <c r="E60" s="16" t="n">
        <f aca="false">5500*'0_Control_Panel'!$B$9*'0_Control_Panel'!$B$10</f>
        <v>5500</v>
      </c>
      <c r="F60" s="16" t="n">
        <f aca="false">5500*'0_Control_Panel'!$B$9*'0_Control_Panel'!$B$10</f>
        <v>5500</v>
      </c>
      <c r="G60" s="16" t="n">
        <f aca="false">4000*'0_Control_Panel'!$B$9*'0_Control_Panel'!$B$10</f>
        <v>4000</v>
      </c>
      <c r="H60" s="16" t="n">
        <f aca="false">4000*'0_Control_Panel'!$B$9*'0_Control_Panel'!$B$10</f>
        <v>4000</v>
      </c>
      <c r="I60" s="3"/>
    </row>
    <row r="61" customFormat="false" ht="15" hidden="false" customHeight="true" outlineLevel="0" collapsed="false">
      <c r="A61" s="6" t="s">
        <v>575</v>
      </c>
      <c r="B61" s="3"/>
      <c r="C61" s="20" t="n">
        <f aca="false">C59</f>
        <v>7720</v>
      </c>
      <c r="D61" s="20" t="n">
        <f aca="false">D59+D60</f>
        <v>13000</v>
      </c>
      <c r="E61" s="20" t="n">
        <f aca="false">E59+E60</f>
        <v>15500</v>
      </c>
      <c r="F61" s="20" t="n">
        <f aca="false">F59+F60</f>
        <v>15500</v>
      </c>
      <c r="G61" s="20" t="n">
        <f aca="false">G59+G60</f>
        <v>12000</v>
      </c>
      <c r="H61" s="20" t="n">
        <f aca="false">H59+H60</f>
        <v>12000</v>
      </c>
      <c r="I61" s="4" t="s">
        <v>576</v>
      </c>
    </row>
    <row r="62" customFormat="false" ht="15" hidden="false" customHeight="true" outlineLevel="0" collapsed="false">
      <c r="A62" s="8" t="s">
        <v>577</v>
      </c>
      <c r="B62" s="3"/>
      <c r="C62" s="3"/>
      <c r="D62" s="42" t="n">
        <f aca="false">D61/D19</f>
        <v>0.25709850861071</v>
      </c>
      <c r="E62" s="42" t="n">
        <f aca="false">E61/E19</f>
        <v>0.280934930304499</v>
      </c>
      <c r="F62" s="42" t="n">
        <f aca="false">F61/F19</f>
        <v>0.255952957688385</v>
      </c>
      <c r="G62" s="42" t="n">
        <f aca="false">G61/G19</f>
        <v>0.179479871401487</v>
      </c>
      <c r="H62" s="42" t="n">
        <f aca="false">H61/H19</f>
        <v>0.161617477832973</v>
      </c>
      <c r="I62" s="3"/>
    </row>
    <row r="63" customFormat="false" ht="15" hidden="false" customHeight="true" outlineLevel="0" collapsed="false">
      <c r="A63" s="5" t="s">
        <v>578</v>
      </c>
      <c r="B63" s="5"/>
      <c r="C63" s="5"/>
      <c r="D63" s="5"/>
      <c r="E63" s="5"/>
      <c r="F63" s="5"/>
      <c r="G63" s="5"/>
      <c r="H63" s="5"/>
      <c r="I63" s="5"/>
    </row>
    <row r="64" customFormat="false" ht="15" hidden="false" customHeight="true" outlineLevel="0" collapsed="false">
      <c r="A64" s="6" t="s">
        <v>579</v>
      </c>
      <c r="B64" s="3"/>
      <c r="C64" s="20" t="n">
        <f aca="false">'0_Control_Panel'!$B$30</f>
        <v>6558</v>
      </c>
      <c r="D64" s="20" t="n">
        <f aca="false">D102</f>
        <v>34359.9270424079</v>
      </c>
      <c r="E64" s="20" t="n">
        <f aca="false">E102</f>
        <v>32601.4846866315</v>
      </c>
      <c r="F64" s="20" t="n">
        <f aca="false">F102</f>
        <v>30904.6863529983</v>
      </c>
      <c r="G64" s="20" t="n">
        <f aca="false">G102</f>
        <v>34609.9810807069</v>
      </c>
      <c r="H64" s="20" t="n">
        <f aca="false">H102</f>
        <v>29115.5981149132</v>
      </c>
      <c r="I64" s="3"/>
    </row>
    <row r="65" customFormat="false" ht="15" hidden="false" customHeight="true" outlineLevel="0" collapsed="false">
      <c r="A65" s="8" t="s">
        <v>580</v>
      </c>
      <c r="B65" s="19" t="n">
        <f aca="false">C65/C19*365</f>
        <v>18.7355633501583</v>
      </c>
      <c r="C65" s="16" t="n">
        <f aca="false">'0_Control_Panel'!$B$59</f>
        <v>2400</v>
      </c>
      <c r="D65" s="16" t="n">
        <f aca="false">D19*$B$65/365</f>
        <v>2595.48</v>
      </c>
      <c r="E65" s="16" t="n">
        <f aca="false">E19*$B$65/365</f>
        <v>2832.043038</v>
      </c>
      <c r="F65" s="16" t="n">
        <f aca="false">F19*$B$65/365</f>
        <v>3108.4611042804</v>
      </c>
      <c r="G65" s="16" t="n">
        <f aca="false">G19*$B$65/365</f>
        <v>3431.93764164599</v>
      </c>
      <c r="H65" s="16" t="n">
        <f aca="false">H19*$B$65/365</f>
        <v>3811.24451909295</v>
      </c>
      <c r="I65" s="3"/>
    </row>
    <row r="66" customFormat="false" ht="15" hidden="false" customHeight="true" outlineLevel="0" collapsed="false">
      <c r="A66" s="8" t="s">
        <v>581</v>
      </c>
      <c r="B66" s="42" t="n">
        <f aca="false">C66/C19</f>
        <v>0.310120626229789</v>
      </c>
      <c r="C66" s="16" t="n">
        <f aca="false">'0_Control_Panel'!$B$60</f>
        <v>14500</v>
      </c>
      <c r="D66" s="16" t="n">
        <f aca="false">D19*$B$66</f>
        <v>15681.025</v>
      </c>
      <c r="E66" s="16" t="n">
        <f aca="false">E19*$B$66</f>
        <v>17110.26002125</v>
      </c>
      <c r="F66" s="16" t="n">
        <f aca="false">F19*$B$66</f>
        <v>18780.2858383608</v>
      </c>
      <c r="G66" s="16" t="n">
        <f aca="false">G19*$B$66</f>
        <v>20734.6232516112</v>
      </c>
      <c r="H66" s="16" t="n">
        <f aca="false">H19*$B$66</f>
        <v>23026.2689695199</v>
      </c>
      <c r="I66" s="3"/>
    </row>
    <row r="67" customFormat="false" ht="15" hidden="false" customHeight="true" outlineLevel="0" collapsed="false">
      <c r="A67" s="8" t="s">
        <v>582</v>
      </c>
      <c r="B67" s="3"/>
      <c r="C67" s="16" t="n">
        <f aca="false">'0_Control_Panel'!$B$61</f>
        <v>38000</v>
      </c>
      <c r="D67" s="16" t="n">
        <f aca="false">C67+D61+D40-'0_Control_Panel'!$E$89</f>
        <v>42640</v>
      </c>
      <c r="E67" s="16" t="n">
        <f aca="false">D67+E61+E40</f>
        <v>48759.2</v>
      </c>
      <c r="F67" s="16" t="n">
        <f aca="false">E67+F61+F40</f>
        <v>53532.176</v>
      </c>
      <c r="G67" s="16" t="n">
        <f aca="false">F67+G61+G40</f>
        <v>53755.09728</v>
      </c>
      <c r="H67" s="16" t="n">
        <f aca="false">G67+H61+H40</f>
        <v>53928.9758784</v>
      </c>
      <c r="I67" s="3"/>
    </row>
    <row r="68" customFormat="false" ht="15" hidden="false" customHeight="true" outlineLevel="0" collapsed="false">
      <c r="A68" s="8" t="s">
        <v>583</v>
      </c>
      <c r="B68" s="3"/>
      <c r="C68" s="16" t="n">
        <f aca="false">'0_Control_Panel'!$B$62</f>
        <v>95000</v>
      </c>
      <c r="D68" s="16" t="n">
        <f aca="false">C68+D41</f>
        <v>86450</v>
      </c>
      <c r="E68" s="16" t="n">
        <f aca="false">D68+E41</f>
        <v>78669.5</v>
      </c>
      <c r="F68" s="16" t="n">
        <f aca="false">E68+F41</f>
        <v>71589.245</v>
      </c>
      <c r="G68" s="16" t="n">
        <f aca="false">F68+G41</f>
        <v>65146.21295</v>
      </c>
      <c r="H68" s="16" t="n">
        <f aca="false">G68+H41</f>
        <v>59283.0537845</v>
      </c>
      <c r="I68" s="3"/>
    </row>
    <row r="69" customFormat="false" ht="15" hidden="false" customHeight="true" outlineLevel="0" collapsed="false">
      <c r="A69" s="8" t="s">
        <v>584</v>
      </c>
      <c r="B69" s="3"/>
      <c r="C69" s="16" t="n">
        <f aca="false">'0_Control_Panel'!$B$63</f>
        <v>15000</v>
      </c>
      <c r="D69" s="16" t="n">
        <f aca="false">C69+D42+D105</f>
        <v>20370.3</v>
      </c>
      <c r="E69" s="16" t="n">
        <f aca="false">D69+E42+E105</f>
        <v>24623.025</v>
      </c>
      <c r="F69" s="16" t="n">
        <f aca="false">E69+F42+F105</f>
        <v>28118.12325</v>
      </c>
      <c r="G69" s="16" t="n">
        <f aca="false">F69+G42+G105</f>
        <v>31108.7923125</v>
      </c>
      <c r="H69" s="16" t="n">
        <f aca="false">G69+H42+H105</f>
        <v>33773.565958125</v>
      </c>
      <c r="I69" s="3"/>
    </row>
    <row r="70" customFormat="false" ht="15" hidden="false" customHeight="true" outlineLevel="0" collapsed="false">
      <c r="A70" s="6" t="s">
        <v>585</v>
      </c>
      <c r="B70" s="3"/>
      <c r="C70" s="20" t="n">
        <f aca="false">SUM(C64:C69)</f>
        <v>171458</v>
      </c>
      <c r="D70" s="20" t="n">
        <f aca="false">SUM(D64:D69)</f>
        <v>202096.732042408</v>
      </c>
      <c r="E70" s="20" t="n">
        <f aca="false">SUM(E64:E69)</f>
        <v>204595.512745881</v>
      </c>
      <c r="F70" s="20" t="n">
        <f aca="false">SUM(F64:F69)</f>
        <v>206032.977545639</v>
      </c>
      <c r="G70" s="20" t="n">
        <f aca="false">SUM(G64:G69)</f>
        <v>208786.644516464</v>
      </c>
      <c r="H70" s="20" t="n">
        <f aca="false">SUM(H64:H69)</f>
        <v>202938.707224551</v>
      </c>
      <c r="I70" s="3"/>
    </row>
    <row r="71" customFormat="false" ht="15" hidden="false" customHeight="true" outlineLevel="0" collapsed="false">
      <c r="A71" s="8" t="s">
        <v>586</v>
      </c>
      <c r="B71" s="3"/>
      <c r="C71" s="16" t="n">
        <f aca="false">'0_Control_Panel'!$B$25</f>
        <v>130299</v>
      </c>
      <c r="D71" s="16" t="n">
        <f aca="false">'2_Capital_Structure_Waterfall'!D54</f>
        <v>112057.14</v>
      </c>
      <c r="E71" s="16" t="n">
        <f aca="false">'2_Capital_Structure_Waterfall'!E54</f>
        <v>120461.4255</v>
      </c>
      <c r="F71" s="16" t="n">
        <f aca="false">'2_Capital_Structure_Waterfall'!F54</f>
        <v>129496.0324125</v>
      </c>
      <c r="G71" s="16" t="n">
        <f aca="false">'2_Capital_Structure_Waterfall'!G54</f>
        <v>139208.234843438</v>
      </c>
      <c r="H71" s="16" t="n">
        <f aca="false">'2_Capital_Structure_Waterfall'!H54</f>
        <v>135248.852456695</v>
      </c>
      <c r="I71" s="3"/>
    </row>
    <row r="72" customFormat="false" ht="15" hidden="false" customHeight="true" outlineLevel="0" collapsed="false">
      <c r="A72" s="8" t="s">
        <v>587</v>
      </c>
      <c r="B72" s="3"/>
      <c r="C72" s="16" t="n">
        <f aca="false">'0_Control_Panel'!$B$27</f>
        <v>25759</v>
      </c>
      <c r="D72" s="16" t="n">
        <f aca="false">'2_Capital_Structure_Waterfall'!D60</f>
        <v>20482.00125</v>
      </c>
      <c r="E72" s="16" t="n">
        <f aca="false">'2_Capital_Structure_Waterfall'!E60</f>
        <v>21720.33133125</v>
      </c>
      <c r="F72" s="16" t="n">
        <f aca="false">'2_Capital_Structure_Waterfall'!F60</f>
        <v>23039.1528677813</v>
      </c>
      <c r="G72" s="16" t="n">
        <f aca="false">'2_Capital_Structure_Waterfall'!G60</f>
        <v>24443.697804187</v>
      </c>
      <c r="H72" s="16" t="n">
        <f aca="false">'2_Capital_Structure_Waterfall'!H60</f>
        <v>25939.5381614592</v>
      </c>
      <c r="I72" s="3"/>
    </row>
    <row r="73" customFormat="false" ht="15" hidden="false" customHeight="true" outlineLevel="0" collapsed="false">
      <c r="A73" s="8" t="s">
        <v>588</v>
      </c>
      <c r="B73" s="3"/>
      <c r="C73" s="16" t="n">
        <f aca="false">'0_Control_Panel'!$B$28</f>
        <v>211</v>
      </c>
      <c r="D73" s="16" t="n">
        <f aca="false">'2_Capital_Structure_Waterfall'!D71</f>
        <v>175.833333333333</v>
      </c>
      <c r="E73" s="16" t="n">
        <f aca="false">'2_Capital_Structure_Waterfall'!E71</f>
        <v>140.666666666667</v>
      </c>
      <c r="F73" s="16" t="n">
        <f aca="false">'2_Capital_Structure_Waterfall'!F71</f>
        <v>105.5</v>
      </c>
      <c r="G73" s="16" t="n">
        <f aca="false">'2_Capital_Structure_Waterfall'!G71</f>
        <v>70.3333333333334</v>
      </c>
      <c r="H73" s="16" t="n">
        <f aca="false">'2_Capital_Structure_Waterfall'!H71</f>
        <v>35.1666666666667</v>
      </c>
      <c r="I73" s="3"/>
    </row>
    <row r="74" customFormat="false" ht="15" hidden="false" customHeight="true" outlineLevel="0" collapsed="false">
      <c r="A74" s="8" t="s">
        <v>589</v>
      </c>
      <c r="B74" s="3"/>
      <c r="C74" s="16" t="n">
        <f aca="false">0</f>
        <v>0</v>
      </c>
      <c r="D74" s="16" t="n">
        <f aca="false">'2_Capital_Structure_Waterfall'!D79</f>
        <v>15000</v>
      </c>
      <c r="E74" s="16" t="n">
        <f aca="false">'2_Capital_Structure_Waterfall'!E79</f>
        <v>15000</v>
      </c>
      <c r="F74" s="16" t="n">
        <f aca="false">'2_Capital_Structure_Waterfall'!F79</f>
        <v>13500</v>
      </c>
      <c r="G74" s="16" t="n">
        <f aca="false">'2_Capital_Structure_Waterfall'!G79</f>
        <v>12000</v>
      </c>
      <c r="H74" s="16" t="n">
        <f aca="false">'2_Capital_Structure_Waterfall'!H79</f>
        <v>10500</v>
      </c>
      <c r="I74" s="3"/>
    </row>
    <row r="75" customFormat="false" ht="15" hidden="false" customHeight="true" outlineLevel="0" collapsed="false">
      <c r="A75" s="8" t="s">
        <v>590</v>
      </c>
      <c r="B75" s="3"/>
      <c r="C75" s="16" t="n">
        <f aca="false">'0_Control_Panel'!$B$29</f>
        <v>3300</v>
      </c>
      <c r="D75" s="16" t="n">
        <f aca="false">'2_Capital_Structure_Waterfall'!D86</f>
        <v>3300</v>
      </c>
      <c r="E75" s="16" t="n">
        <f aca="false">'2_Capital_Structure_Waterfall'!E86</f>
        <v>3300</v>
      </c>
      <c r="F75" s="16" t="n">
        <f aca="false">'2_Capital_Structure_Waterfall'!F86</f>
        <v>3300</v>
      </c>
      <c r="G75" s="16" t="n">
        <f aca="false">'2_Capital_Structure_Waterfall'!G86</f>
        <v>3300</v>
      </c>
      <c r="H75" s="16" t="n">
        <f aca="false">'2_Capital_Structure_Waterfall'!H86</f>
        <v>3300</v>
      </c>
      <c r="I75" s="3"/>
    </row>
    <row r="76" customFormat="false" ht="15" hidden="false" customHeight="true" outlineLevel="0" collapsed="false">
      <c r="A76" s="8" t="s">
        <v>591</v>
      </c>
      <c r="B76" s="3"/>
      <c r="C76" s="16" t="n">
        <f aca="false">0</f>
        <v>0</v>
      </c>
      <c r="D76" s="16" t="n">
        <f aca="false">C76+D101</f>
        <v>0</v>
      </c>
      <c r="E76" s="16" t="n">
        <f aca="false">D76+E101</f>
        <v>0</v>
      </c>
      <c r="F76" s="16" t="n">
        <f aca="false">E76+F101</f>
        <v>0</v>
      </c>
      <c r="G76" s="16" t="n">
        <f aca="false">F76+G101</f>
        <v>0</v>
      </c>
      <c r="H76" s="16" t="n">
        <f aca="false">G76+H101</f>
        <v>0</v>
      </c>
      <c r="I76" s="3"/>
    </row>
    <row r="77" customFormat="false" ht="15" hidden="false" customHeight="true" outlineLevel="0" collapsed="false">
      <c r="A77" s="8" t="s">
        <v>592</v>
      </c>
      <c r="B77" s="3"/>
      <c r="C77" s="16" t="n">
        <f aca="false">'0_Control_Panel'!$B$52</f>
        <v>19500</v>
      </c>
      <c r="D77" s="16" t="n">
        <f aca="false">C77-D46+D105-D38</f>
        <v>20475</v>
      </c>
      <c r="E77" s="16" t="n">
        <f aca="false">D77-E46+E105-E38</f>
        <v>21498.75</v>
      </c>
      <c r="F77" s="16" t="n">
        <f aca="false">E77-F46+F105-F38</f>
        <v>22573.6875</v>
      </c>
      <c r="G77" s="16" t="n">
        <f aca="false">F77-G46+G105-G38</f>
        <v>23702.371875</v>
      </c>
      <c r="H77" s="16" t="n">
        <f aca="false">G77-H46+H105-H38</f>
        <v>24887.49046875</v>
      </c>
      <c r="I77" s="3"/>
    </row>
    <row r="78" customFormat="false" ht="15" hidden="false" customHeight="true" outlineLevel="0" collapsed="false">
      <c r="A78" s="8" t="s">
        <v>593</v>
      </c>
      <c r="B78" s="42" t="n">
        <f aca="false">C78/(-SUM(C30:C34)+C61)</f>
        <v>0.3350409350101</v>
      </c>
      <c r="C78" s="16" t="n">
        <f aca="false">'0_Control_Panel'!$B$56</f>
        <v>11500</v>
      </c>
      <c r="D78" s="16" t="n">
        <f aca="false">$B$78*(-SUM(D30:D34)+D61)</f>
        <v>13774.7850762746</v>
      </c>
      <c r="E78" s="16" t="n">
        <f aca="false">$B$78*(-SUM(E30:E34)+E61)</f>
        <v>15230.5905913201</v>
      </c>
      <c r="F78" s="16" t="n">
        <f aca="false">$B$78*(-SUM(F30:F34)+F61)</f>
        <v>15946.5217789988</v>
      </c>
      <c r="G78" s="16" t="n">
        <f aca="false">$B$78*(-SUM(G30:G34)+G61)</f>
        <v>15601.7005477842</v>
      </c>
      <c r="H78" s="16" t="n">
        <f aca="false">$B$78*(-SUM(H30:H34)+H61)</f>
        <v>16558.2909810804</v>
      </c>
      <c r="I78" s="3"/>
    </row>
    <row r="79" customFormat="false" ht="15" hidden="false" customHeight="true" outlineLevel="0" collapsed="false">
      <c r="A79" s="8" t="s">
        <v>426</v>
      </c>
      <c r="B79" s="3"/>
      <c r="C79" s="16" t="n">
        <f aca="false">'0_Control_Panel'!$B$57</f>
        <v>22000</v>
      </c>
      <c r="D79" s="16" t="n">
        <f aca="false">C79</f>
        <v>22000</v>
      </c>
      <c r="E79" s="16" t="n">
        <f aca="false">D79</f>
        <v>22000</v>
      </c>
      <c r="F79" s="16" t="n">
        <f aca="false">E79</f>
        <v>22000</v>
      </c>
      <c r="G79" s="16" t="n">
        <f aca="false">F79</f>
        <v>22000</v>
      </c>
      <c r="H79" s="16" t="n">
        <f aca="false">G79</f>
        <v>22000</v>
      </c>
      <c r="I79" s="3"/>
    </row>
    <row r="80" customFormat="false" ht="15" hidden="false" customHeight="true" outlineLevel="0" collapsed="false">
      <c r="A80" s="6" t="s">
        <v>594</v>
      </c>
      <c r="B80" s="3"/>
      <c r="C80" s="20" t="n">
        <f aca="false">SUM(C71:C79)</f>
        <v>212569</v>
      </c>
      <c r="D80" s="20" t="n">
        <f aca="false">SUM(D71:D79)</f>
        <v>207264.759659608</v>
      </c>
      <c r="E80" s="20" t="n">
        <f aca="false">SUM(E71:E79)</f>
        <v>219351.764089237</v>
      </c>
      <c r="F80" s="20" t="n">
        <f aca="false">SUM(F71:F79)</f>
        <v>229960.89455928</v>
      </c>
      <c r="G80" s="20" t="n">
        <f aca="false">SUM(G71:G79)</f>
        <v>240326.338403742</v>
      </c>
      <c r="H80" s="20" t="n">
        <f aca="false">SUM(H71:H79)</f>
        <v>238469.338734652</v>
      </c>
      <c r="I80" s="3"/>
    </row>
    <row r="81" customFormat="false" ht="15" hidden="false" customHeight="true" outlineLevel="0" collapsed="false">
      <c r="A81" s="6" t="s">
        <v>595</v>
      </c>
      <c r="B81" s="3"/>
      <c r="C81" s="20" t="n">
        <f aca="false">C70-C80</f>
        <v>-41111</v>
      </c>
      <c r="D81" s="20" t="n">
        <f aca="false">C81+D57+D103+D104</f>
        <v>-5168.0276172</v>
      </c>
      <c r="E81" s="20" t="n">
        <f aca="false">D81+E57+E103+E104</f>
        <v>-14756.2513433552</v>
      </c>
      <c r="F81" s="20" t="n">
        <f aca="false">E81+F57+F103+F104</f>
        <v>-23927.9170136406</v>
      </c>
      <c r="G81" s="20" t="n">
        <f aca="false">F81+G57+G103+G104</f>
        <v>-31539.693887278</v>
      </c>
      <c r="H81" s="20" t="n">
        <f aca="false">G81+H57+H103+H104</f>
        <v>-35530.6315101005</v>
      </c>
      <c r="I81" s="3"/>
    </row>
    <row r="82" customFormat="false" ht="15" hidden="false" customHeight="true" outlineLevel="0" collapsed="false">
      <c r="A82" s="6" t="s">
        <v>596</v>
      </c>
      <c r="B82" s="3"/>
      <c r="C82" s="20" t="n">
        <f aca="false">C80+C81</f>
        <v>171458</v>
      </c>
      <c r="D82" s="20" t="n">
        <f aca="false">D80+D81</f>
        <v>202096.732042408</v>
      </c>
      <c r="E82" s="20" t="n">
        <f aca="false">E80+E81</f>
        <v>204595.512745882</v>
      </c>
      <c r="F82" s="20" t="n">
        <f aca="false">F80+F81</f>
        <v>206032.977545639</v>
      </c>
      <c r="G82" s="20" t="n">
        <f aca="false">G80+G81</f>
        <v>208786.644516464</v>
      </c>
      <c r="H82" s="20" t="n">
        <f aca="false">H80+H81</f>
        <v>202938.707224551</v>
      </c>
      <c r="I82" s="3"/>
    </row>
    <row r="83" customFormat="false" ht="15" hidden="false" customHeight="true" outlineLevel="0" collapsed="false">
      <c r="A83" s="6" t="s">
        <v>597</v>
      </c>
      <c r="B83" s="3"/>
      <c r="C83" s="20" t="n">
        <f aca="false">ROUND(C70-C82,2)</f>
        <v>0</v>
      </c>
      <c r="D83" s="20" t="n">
        <f aca="false">ROUND(D70-D82,2)</f>
        <v>0</v>
      </c>
      <c r="E83" s="20" t="n">
        <f aca="false">ROUND(E70-E82,2)</f>
        <v>0</v>
      </c>
      <c r="F83" s="20" t="n">
        <f aca="false">ROUND(F70-F82,2)</f>
        <v>0</v>
      </c>
      <c r="G83" s="20" t="n">
        <f aca="false">ROUND(G70-G82,2)</f>
        <v>0</v>
      </c>
      <c r="H83" s="20" t="n">
        <f aca="false">ROUND(H70-H82,2)</f>
        <v>0</v>
      </c>
      <c r="I83" s="3"/>
    </row>
    <row r="84" customFormat="false" ht="15" hidden="false" customHeight="true" outlineLevel="0" collapsed="false">
      <c r="A84" s="5" t="s">
        <v>598</v>
      </c>
      <c r="B84" s="5"/>
      <c r="C84" s="5"/>
      <c r="D84" s="5"/>
      <c r="E84" s="5"/>
      <c r="F84" s="5"/>
      <c r="G84" s="5"/>
      <c r="H84" s="5"/>
      <c r="I84" s="5"/>
    </row>
    <row r="85" customFormat="false" ht="15" hidden="false" customHeight="true" outlineLevel="0" collapsed="false">
      <c r="A85" s="8" t="s">
        <v>599</v>
      </c>
      <c r="B85" s="3"/>
      <c r="C85" s="3"/>
      <c r="D85" s="16" t="n">
        <f aca="false">D57</f>
        <v>-11556.5776172</v>
      </c>
      <c r="E85" s="16" t="n">
        <f aca="false">E57</f>
        <v>-9588.22372615524</v>
      </c>
      <c r="F85" s="16" t="n">
        <f aca="false">F57</f>
        <v>-9171.66567028537</v>
      </c>
      <c r="G85" s="16" t="n">
        <f aca="false">G57</f>
        <v>-7611.7768736374</v>
      </c>
      <c r="H85" s="16" t="n">
        <f aca="false">H57</f>
        <v>-3990.93762282246</v>
      </c>
      <c r="I85" s="3"/>
    </row>
    <row r="86" customFormat="false" ht="15" hidden="false" customHeight="true" outlineLevel="0" collapsed="false">
      <c r="A86" s="8" t="s">
        <v>600</v>
      </c>
      <c r="B86" s="3"/>
      <c r="C86" s="3"/>
      <c r="D86" s="16" t="n">
        <f aca="false">-SUM(D40:D42)</f>
        <v>21410</v>
      </c>
      <c r="E86" s="16" t="n">
        <f aca="false">-SUM(E40:E42)</f>
        <v>23272.39</v>
      </c>
      <c r="F86" s="16" t="n">
        <f aca="false">-SUM(F40:F42)</f>
        <v>25194.1865</v>
      </c>
      <c r="G86" s="16" t="n">
        <f aca="false">-SUM(G40:G42)</f>
        <v>26655.547745</v>
      </c>
      <c r="H86" s="16" t="n">
        <f aca="false">-SUM(H40:H42)</f>
        <v>27021.91826085</v>
      </c>
      <c r="I86" s="3"/>
    </row>
    <row r="87" customFormat="false" ht="15" hidden="false" customHeight="true" outlineLevel="0" collapsed="false">
      <c r="A87" s="8" t="s">
        <v>601</v>
      </c>
      <c r="B87" s="3"/>
      <c r="C87" s="3"/>
      <c r="D87" s="16" t="n">
        <f aca="false">-D44-D45-D46+'2_Capital_Structure_Waterfall'!D69+'2_Capital_Structure_Waterfall'!D77+'2_Capital_Structure_Waterfall'!D84</f>
        <v>10926.19125</v>
      </c>
      <c r="E87" s="16" t="n">
        <f aca="false">-E44-E45-E46+'2_Capital_Structure_Waterfall'!E69+'2_Capital_Structure_Waterfall'!E77+'2_Capital_Structure_Waterfall'!E84</f>
        <v>11680.74058125</v>
      </c>
      <c r="F87" s="16" t="n">
        <f aca="false">-F44-F45-F46+'2_Capital_Structure_Waterfall'!F69+'2_Capital_Structure_Waterfall'!F77+'2_Capital_Structure_Waterfall'!F84</f>
        <v>12488.8096990313</v>
      </c>
      <c r="G87" s="16" t="n">
        <f aca="false">-G44-G45-G46+'2_Capital_Structure_Waterfall'!G69+'2_Capital_Structure_Waterfall'!G77+'2_Capital_Structure_Waterfall'!G84</f>
        <v>13354.2476798433</v>
      </c>
      <c r="H87" s="16" t="n">
        <f aca="false">-H44-H45-H46+'2_Capital_Structure_Waterfall'!H69+'2_Capital_Structure_Waterfall'!H77+'2_Capital_Structure_Waterfall'!H84</f>
        <v>14281.183298655</v>
      </c>
      <c r="I87" s="3"/>
    </row>
    <row r="88" customFormat="false" ht="15" hidden="false" customHeight="true" outlineLevel="0" collapsed="false">
      <c r="A88" s="8" t="s">
        <v>602</v>
      </c>
      <c r="B88" s="3"/>
      <c r="C88" s="3"/>
      <c r="D88" s="16" t="n">
        <f aca="false">-D52</f>
        <v>-0</v>
      </c>
      <c r="E88" s="16" t="n">
        <f aca="false">-E52</f>
        <v>-0</v>
      </c>
      <c r="F88" s="16" t="n">
        <f aca="false">-F52</f>
        <v>-0</v>
      </c>
      <c r="G88" s="16" t="n">
        <f aca="false">-G52</f>
        <v>-0</v>
      </c>
      <c r="H88" s="16" t="n">
        <f aca="false">-H52</f>
        <v>-0</v>
      </c>
      <c r="I88" s="3"/>
    </row>
    <row r="89" customFormat="false" ht="15" hidden="false" customHeight="true" outlineLevel="0" collapsed="false">
      <c r="A89" s="8" t="s">
        <v>603</v>
      </c>
      <c r="B89" s="3"/>
      <c r="C89" s="3"/>
      <c r="D89" s="16" t="n">
        <f aca="false">-(D65-C65)-(D66-C66)+(D78-C78)+IF(D$5=1,'2_Capital_Structure_Waterfall'!$O$21+'2_Capital_Structure_Waterfall'!$O$22,0)</f>
        <v>898.28007627455</v>
      </c>
      <c r="E89" s="16" t="n">
        <f aca="false">-(E65-D65)-(E66-D66)+(E78-D78)+IF(E$5=1,'2_Capital_Structure_Waterfall'!$O$21+'2_Capital_Structure_Waterfall'!$O$22,0)</f>
        <v>-209.99254420449</v>
      </c>
      <c r="F89" s="16" t="n">
        <f aca="false">-(F65-E65)-(F66-E66)+(F78-E78)+IF(F$5=1,'2_Capital_Structure_Waterfall'!$O$21+'2_Capital_Structure_Waterfall'!$O$22,0)</f>
        <v>-1230.51269571244</v>
      </c>
      <c r="G89" s="16" t="n">
        <f aca="false">-(G65-F65)-(G66-F66)+(G78-F78)+IF(G$5=1,'2_Capital_Structure_Waterfall'!$O$21+'2_Capital_Structure_Waterfall'!$O$22,0)</f>
        <v>-2622.63518183062</v>
      </c>
      <c r="H89" s="16" t="n">
        <f aca="false">-(H65-G65)-(H66-G66)+(H78-G78)+IF(H$5=1,'2_Capital_Structure_Waterfall'!$O$21+'2_Capital_Structure_Waterfall'!$O$22,0)</f>
        <v>-1714.36216205947</v>
      </c>
      <c r="I89" s="3"/>
    </row>
    <row r="90" customFormat="false" ht="15" hidden="false" customHeight="true" outlineLevel="0" collapsed="false">
      <c r="A90" s="6" t="s">
        <v>604</v>
      </c>
      <c r="B90" s="3"/>
      <c r="C90" s="3"/>
      <c r="D90" s="20" t="n">
        <f aca="false">SUM(D85:D89)</f>
        <v>21677.8937090746</v>
      </c>
      <c r="E90" s="20" t="n">
        <f aca="false">SUM(E85:E89)</f>
        <v>25154.9143108903</v>
      </c>
      <c r="F90" s="20" t="n">
        <f aca="false">SUM(F85:F89)</f>
        <v>27280.8178330334</v>
      </c>
      <c r="G90" s="20" t="n">
        <f aca="false">SUM(G85:G89)</f>
        <v>29775.3833693753</v>
      </c>
      <c r="H90" s="20" t="n">
        <f aca="false">SUM(H85:H89)</f>
        <v>35597.801774623</v>
      </c>
      <c r="I90" s="3"/>
    </row>
    <row r="91" customFormat="false" ht="15" hidden="false" customHeight="true" outlineLevel="0" collapsed="false">
      <c r="A91" s="6" t="s">
        <v>605</v>
      </c>
      <c r="B91" s="3"/>
      <c r="C91" s="3"/>
      <c r="D91" s="20" t="n">
        <f aca="false">-D61</f>
        <v>-13000</v>
      </c>
      <c r="E91" s="20" t="n">
        <f aca="false">-E61</f>
        <v>-15500</v>
      </c>
      <c r="F91" s="20" t="n">
        <f aca="false">-F61</f>
        <v>-15500</v>
      </c>
      <c r="G91" s="20" t="n">
        <f aca="false">-G61</f>
        <v>-12000</v>
      </c>
      <c r="H91" s="20" t="n">
        <f aca="false">-H61</f>
        <v>-12000</v>
      </c>
      <c r="I91" s="3"/>
    </row>
    <row r="92" customFormat="false" ht="15" hidden="false" customHeight="true" outlineLevel="0" collapsed="false">
      <c r="A92" s="8" t="s">
        <v>606</v>
      </c>
      <c r="B92" s="3"/>
      <c r="C92" s="3"/>
      <c r="D92" s="16" t="n">
        <f aca="false">-'2_Capital_Structure_Waterfall'!D52</f>
        <v>-0</v>
      </c>
      <c r="E92" s="16" t="n">
        <f aca="false">-'2_Capital_Structure_Waterfall'!E52</f>
        <v>-0</v>
      </c>
      <c r="F92" s="16" t="n">
        <f aca="false">-'2_Capital_Structure_Waterfall'!F52</f>
        <v>-0</v>
      </c>
      <c r="G92" s="16" t="n">
        <f aca="false">-'2_Capital_Structure_Waterfall'!G52</f>
        <v>-0</v>
      </c>
      <c r="H92" s="16" t="n">
        <f aca="false">-'2_Capital_Structure_Waterfall'!H52</f>
        <v>-14400</v>
      </c>
      <c r="I92" s="3"/>
    </row>
    <row r="93" customFormat="false" ht="15" hidden="false" customHeight="true" outlineLevel="0" collapsed="false">
      <c r="A93" s="8" t="s">
        <v>607</v>
      </c>
      <c r="B93" s="3"/>
      <c r="C93" s="3"/>
      <c r="D93" s="16" t="n">
        <f aca="false">-'2_Capital_Structure_Waterfall'!D59</f>
        <v>-93</v>
      </c>
      <c r="E93" s="16" t="n">
        <f aca="false">-'2_Capital_Structure_Waterfall'!E59</f>
        <v>-93</v>
      </c>
      <c r="F93" s="16" t="n">
        <f aca="false">-'2_Capital_Structure_Waterfall'!F59</f>
        <v>-93</v>
      </c>
      <c r="G93" s="16" t="n">
        <f aca="false">-'2_Capital_Structure_Waterfall'!G59</f>
        <v>-93</v>
      </c>
      <c r="H93" s="16" t="n">
        <f aca="false">-'2_Capital_Structure_Waterfall'!H59</f>
        <v>-93</v>
      </c>
      <c r="I93" s="3"/>
    </row>
    <row r="94" customFormat="false" ht="15" hidden="false" customHeight="true" outlineLevel="0" collapsed="false">
      <c r="A94" s="8" t="s">
        <v>608</v>
      </c>
      <c r="B94" s="3"/>
      <c r="C94" s="3"/>
      <c r="D94" s="16" t="n">
        <f aca="false">-D38</f>
        <v>-10747.8</v>
      </c>
      <c r="E94" s="16" t="n">
        <f aca="false">-E38</f>
        <v>-11285.19</v>
      </c>
      <c r="F94" s="16" t="n">
        <f aca="false">-F38</f>
        <v>-11849.4495</v>
      </c>
      <c r="G94" s="16" t="n">
        <f aca="false">-G38</f>
        <v>-12441.921975</v>
      </c>
      <c r="H94" s="16" t="n">
        <f aca="false">-H38</f>
        <v>-13064.01807375</v>
      </c>
      <c r="I94" s="3"/>
    </row>
    <row r="95" customFormat="false" ht="15" hidden="false" customHeight="true" outlineLevel="0" collapsed="false">
      <c r="A95" s="8" t="s">
        <v>609</v>
      </c>
      <c r="B95" s="3"/>
      <c r="C95" s="3"/>
      <c r="D95" s="16" t="n">
        <f aca="false">'2_Capital_Structure_Waterfall'!D75</f>
        <v>15000</v>
      </c>
      <c r="E95" s="16" t="n">
        <f aca="false">'2_Capital_Structure_Waterfall'!E75</f>
        <v>0</v>
      </c>
      <c r="F95" s="16" t="n">
        <f aca="false">'2_Capital_Structure_Waterfall'!F75</f>
        <v>0</v>
      </c>
      <c r="G95" s="16" t="n">
        <f aca="false">'2_Capital_Structure_Waterfall'!G75</f>
        <v>0</v>
      </c>
      <c r="H95" s="16" t="n">
        <f aca="false">'2_Capital_Structure_Waterfall'!H75</f>
        <v>0</v>
      </c>
      <c r="I95" s="3"/>
    </row>
    <row r="96" customFormat="false" ht="15" hidden="false" customHeight="true" outlineLevel="0" collapsed="false">
      <c r="A96" s="8" t="s">
        <v>610</v>
      </c>
      <c r="B96" s="3"/>
      <c r="C96" s="3"/>
      <c r="D96" s="16" t="n">
        <f aca="false">-'2_Capital_Structure_Waterfall'!D70-'2_Capital_Structure_Waterfall'!D78-'2_Capital_Structure_Waterfall'!D85</f>
        <v>-35.1666666666667</v>
      </c>
      <c r="E96" s="16" t="n">
        <f aca="false">-'2_Capital_Structure_Waterfall'!E70-'2_Capital_Structure_Waterfall'!E78-'2_Capital_Structure_Waterfall'!E85</f>
        <v>-35.1666666666667</v>
      </c>
      <c r="F96" s="16" t="n">
        <f aca="false">-'2_Capital_Structure_Waterfall'!F70-'2_Capital_Structure_Waterfall'!F78-'2_Capital_Structure_Waterfall'!F85</f>
        <v>-1535.16666666667</v>
      </c>
      <c r="G96" s="16" t="n">
        <f aca="false">-'2_Capital_Structure_Waterfall'!G70-'2_Capital_Structure_Waterfall'!G78-'2_Capital_Structure_Waterfall'!G85</f>
        <v>-1535.16666666667</v>
      </c>
      <c r="H96" s="16" t="n">
        <f aca="false">-'2_Capital_Structure_Waterfall'!H70-'2_Capital_Structure_Waterfall'!H78-'2_Capital_Structure_Waterfall'!H85</f>
        <v>-1535.16666666667</v>
      </c>
      <c r="I96" s="3"/>
    </row>
    <row r="97" customFormat="false" ht="15" hidden="false" customHeight="true" outlineLevel="0" collapsed="false">
      <c r="A97" s="8" t="s">
        <v>611</v>
      </c>
      <c r="B97" s="3"/>
      <c r="C97" s="3"/>
      <c r="D97" s="16" t="n">
        <f aca="false">'0_Control_Panel'!$E$81+'0_Control_Panel'!$E$89</f>
        <v>15000</v>
      </c>
      <c r="E97" s="16" t="n">
        <f aca="false">0</f>
        <v>0</v>
      </c>
      <c r="F97" s="16" t="n">
        <f aca="false">0</f>
        <v>0</v>
      </c>
      <c r="G97" s="16" t="n">
        <f aca="false">0</f>
        <v>0</v>
      </c>
      <c r="H97" s="16" t="n">
        <f aca="false">0</f>
        <v>0</v>
      </c>
      <c r="I97" s="3"/>
    </row>
    <row r="98" customFormat="false" ht="15" hidden="false" customHeight="true" outlineLevel="0" collapsed="false">
      <c r="A98" s="6" t="s">
        <v>612</v>
      </c>
      <c r="B98" s="3"/>
      <c r="C98" s="3"/>
      <c r="D98" s="20" t="n">
        <f aca="false">SUM(D92:D97)</f>
        <v>19124.0333333333</v>
      </c>
      <c r="E98" s="20" t="n">
        <f aca="false">SUM(E92:E97)</f>
        <v>-11413.3566666667</v>
      </c>
      <c r="F98" s="20" t="n">
        <f aca="false">SUM(F92:F97)</f>
        <v>-13477.6161666667</v>
      </c>
      <c r="G98" s="20" t="n">
        <f aca="false">SUM(G92:G97)</f>
        <v>-14070.0886416667</v>
      </c>
      <c r="H98" s="20" t="n">
        <f aca="false">SUM(H92:H97)</f>
        <v>-29092.1847404167</v>
      </c>
      <c r="I98" s="3"/>
    </row>
    <row r="99" customFormat="false" ht="15" hidden="false" customHeight="true" outlineLevel="0" collapsed="false">
      <c r="A99" s="8" t="s">
        <v>613</v>
      </c>
      <c r="B99" s="3"/>
      <c r="C99" s="3"/>
      <c r="D99" s="16" t="n">
        <f aca="false">C64+D90+D91+D98</f>
        <v>34359.9270424079</v>
      </c>
      <c r="E99" s="16" t="n">
        <f aca="false">D64+E90+E91+E98</f>
        <v>32601.4846866315</v>
      </c>
      <c r="F99" s="16" t="n">
        <f aca="false">E64+F90+F91+F98</f>
        <v>30904.6863529983</v>
      </c>
      <c r="G99" s="16" t="n">
        <f aca="false">F64+G90+G91+G98</f>
        <v>34609.9810807069</v>
      </c>
      <c r="H99" s="16" t="n">
        <f aca="false">G64+H90+H91+H98</f>
        <v>29115.5981149132</v>
      </c>
      <c r="I99" s="3"/>
    </row>
    <row r="100" customFormat="false" ht="15" hidden="false" customHeight="true" outlineLevel="0" collapsed="false">
      <c r="A100" s="8" t="s">
        <v>614</v>
      </c>
      <c r="B100" s="16" t="n">
        <f aca="false">'0_Control_Panel'!$B$49</f>
        <v>4000</v>
      </c>
      <c r="C100" s="3"/>
      <c r="D100" s="16" t="n">
        <f aca="false">$B$100</f>
        <v>4000</v>
      </c>
      <c r="E100" s="16" t="n">
        <f aca="false">$B$100</f>
        <v>4000</v>
      </c>
      <c r="F100" s="16" t="n">
        <f aca="false">$B$100</f>
        <v>4000</v>
      </c>
      <c r="G100" s="16" t="n">
        <f aca="false">$B$100</f>
        <v>4000</v>
      </c>
      <c r="H100" s="16" t="n">
        <f aca="false">$B$100</f>
        <v>4000</v>
      </c>
      <c r="I100" s="3"/>
    </row>
    <row r="101" customFormat="false" ht="15" hidden="false" customHeight="true" outlineLevel="0" collapsed="false">
      <c r="A101" s="6" t="s">
        <v>615</v>
      </c>
      <c r="B101" s="3"/>
      <c r="C101" s="3"/>
      <c r="D101" s="20" t="n">
        <f aca="false">MAX(0,D100-D99)</f>
        <v>0</v>
      </c>
      <c r="E101" s="20" t="n">
        <f aca="false">MAX(0,E100-E99)</f>
        <v>0</v>
      </c>
      <c r="F101" s="20" t="n">
        <f aca="false">MAX(0,F100-F99)</f>
        <v>0</v>
      </c>
      <c r="G101" s="20" t="n">
        <f aca="false">MAX(0,G100-G99)</f>
        <v>0</v>
      </c>
      <c r="H101" s="20" t="n">
        <f aca="false">MAX(0,H100-H99)</f>
        <v>0</v>
      </c>
      <c r="I101" s="3"/>
    </row>
    <row r="102" customFormat="false" ht="15" hidden="false" customHeight="true" outlineLevel="0" collapsed="false">
      <c r="A102" s="6" t="s">
        <v>321</v>
      </c>
      <c r="B102" s="3"/>
      <c r="C102" s="3"/>
      <c r="D102" s="20" t="n">
        <f aca="false">D99+D101</f>
        <v>34359.9270424079</v>
      </c>
      <c r="E102" s="20" t="n">
        <f aca="false">E99+E101</f>
        <v>32601.4846866315</v>
      </c>
      <c r="F102" s="20" t="n">
        <f aca="false">F99+F101</f>
        <v>30904.6863529983</v>
      </c>
      <c r="G102" s="20" t="n">
        <f aca="false">G99+G101</f>
        <v>34609.9810807069</v>
      </c>
      <c r="H102" s="20" t="n">
        <f aca="false">H99+H101</f>
        <v>29115.5981149132</v>
      </c>
      <c r="I102" s="3"/>
    </row>
    <row r="103" customFormat="false" ht="15" hidden="false" customHeight="true" outlineLevel="0" collapsed="false">
      <c r="A103" s="8" t="s">
        <v>616</v>
      </c>
      <c r="B103" s="3"/>
      <c r="C103" s="3"/>
      <c r="D103" s="16" t="n">
        <f aca="false">'2_Capital_Structure_Waterfall'!$N$14+'2_Capital_Structure_Waterfall'!D61</f>
        <v>32499.55</v>
      </c>
      <c r="E103" s="16" t="n">
        <f aca="false">0</f>
        <v>0</v>
      </c>
      <c r="F103" s="16" t="n">
        <f aca="false">0</f>
        <v>0</v>
      </c>
      <c r="G103" s="16" t="n">
        <f aca="false">0</f>
        <v>0</v>
      </c>
      <c r="H103" s="16" t="n">
        <f aca="false">0</f>
        <v>0</v>
      </c>
      <c r="I103" s="3"/>
    </row>
    <row r="104" customFormat="false" ht="15" hidden="false" customHeight="true" outlineLevel="0" collapsed="false">
      <c r="A104" s="8" t="s">
        <v>617</v>
      </c>
      <c r="B104" s="3"/>
      <c r="C104" s="3"/>
      <c r="D104" s="16" t="n">
        <f aca="false">'0_Control_Panel'!$E$81</f>
        <v>15000</v>
      </c>
      <c r="E104" s="16" t="n">
        <f aca="false">E97</f>
        <v>0</v>
      </c>
      <c r="F104" s="16" t="n">
        <f aca="false">F97</f>
        <v>0</v>
      </c>
      <c r="G104" s="16" t="n">
        <f aca="false">G97</f>
        <v>0</v>
      </c>
      <c r="H104" s="16" t="n">
        <f aca="false">H97</f>
        <v>0</v>
      </c>
      <c r="I104" s="3"/>
    </row>
    <row r="105" customFormat="false" ht="15" hidden="false" customHeight="true" outlineLevel="0" collapsed="false">
      <c r="A105" s="8" t="s">
        <v>618</v>
      </c>
      <c r="B105" s="3"/>
      <c r="C105" s="3"/>
      <c r="D105" s="16" t="n">
        <f aca="false">(D38+D46)+C77*D37</f>
        <v>9870.3</v>
      </c>
      <c r="E105" s="16" t="n">
        <f aca="false">(E38+E46)+D77*E37</f>
        <v>10363.815</v>
      </c>
      <c r="F105" s="16" t="n">
        <f aca="false">(F38+F46)+E77*F37</f>
        <v>10882.00575</v>
      </c>
      <c r="G105" s="16" t="n">
        <f aca="false">(G38+G46)+F77*G37</f>
        <v>11426.1060375</v>
      </c>
      <c r="H105" s="16" t="n">
        <f aca="false">(H38+H46)+G77*H37</f>
        <v>11997.411339375</v>
      </c>
      <c r="I105" s="3"/>
    </row>
    <row r="106" customFormat="false" ht="15" hidden="false" customHeight="true" outlineLevel="0" collapsed="false">
      <c r="A106" s="5" t="s">
        <v>619</v>
      </c>
      <c r="B106" s="5"/>
      <c r="C106" s="5"/>
      <c r="D106" s="5"/>
      <c r="E106" s="5"/>
      <c r="F106" s="5"/>
      <c r="G106" s="5"/>
      <c r="H106" s="5"/>
      <c r="I106" s="5"/>
    </row>
    <row r="107" customFormat="false" ht="15" hidden="false" customHeight="true" outlineLevel="0" collapsed="false">
      <c r="A107" s="8" t="s">
        <v>620</v>
      </c>
      <c r="B107" s="3"/>
      <c r="C107" s="3"/>
      <c r="D107" s="16" t="n">
        <f aca="false">D73+D74+D75+D76-D64</f>
        <v>-15884.0937090746</v>
      </c>
      <c r="E107" s="16" t="n">
        <f aca="false">E73+E74+E75+E76-E64</f>
        <v>-14160.8180199648</v>
      </c>
      <c r="F107" s="16" t="n">
        <f aca="false">F73+F74+F75+F76-F64</f>
        <v>-13999.1863529983</v>
      </c>
      <c r="G107" s="16" t="n">
        <f aca="false">G73+G74+G75+G76-G64</f>
        <v>-19239.6477473735</v>
      </c>
      <c r="H107" s="16" t="n">
        <f aca="false">H73+H74+H75+H76-H64</f>
        <v>-15280.4314482466</v>
      </c>
      <c r="I107" s="3"/>
    </row>
    <row r="108" customFormat="false" ht="15" hidden="false" customHeight="true" outlineLevel="0" collapsed="false">
      <c r="A108" s="8" t="s">
        <v>621</v>
      </c>
      <c r="B108" s="3"/>
      <c r="C108" s="3"/>
      <c r="D108" s="62" t="n">
        <f aca="false">IFERROR(D107/D39,0)</f>
        <v>-1.35729714278632</v>
      </c>
      <c r="E108" s="62" t="n">
        <f aca="false">IFERROR(E107/E39,0)</f>
        <v>-1.01665496852564</v>
      </c>
      <c r="F108" s="62" t="n">
        <f aca="false">IFERROR(F107/F39,0)</f>
        <v>-0.842674099797085</v>
      </c>
      <c r="G108" s="62" t="n">
        <f aca="false">IFERROR(G107/G39,0)</f>
        <v>-0.9691837670592</v>
      </c>
      <c r="H108" s="62" t="n">
        <f aca="false">IFERROR(H107/H39,0)</f>
        <v>-0.643016155891778</v>
      </c>
      <c r="I108" s="3"/>
    </row>
    <row r="109" customFormat="false" ht="15" hidden="false" customHeight="true" outlineLevel="0" collapsed="false">
      <c r="A109" s="8" t="s">
        <v>622</v>
      </c>
      <c r="B109" s="3"/>
      <c r="C109" s="3"/>
      <c r="D109" s="62" t="n">
        <f aca="false">IFERROR((D107+D71+D72)/D39,0)</f>
        <v>9.96818361934266</v>
      </c>
      <c r="E109" s="62" t="n">
        <f aca="false">IFERROR((E107+E71+E72)/E39,0)</f>
        <v>9.19107380197332</v>
      </c>
      <c r="F109" s="62" t="n">
        <f aca="false">IFERROR((F107+F71+F72)/F39,0)</f>
        <v>8.33910594814929</v>
      </c>
      <c r="G109" s="62" t="n">
        <f aca="false">IFERROR((G107+G71+G72)/G39,0)</f>
        <v>7.2746676096686</v>
      </c>
      <c r="H109" s="62" t="n">
        <f aca="false">IFERROR((H107+H71+H72)/H39,0)</f>
        <v>6.13995588653453</v>
      </c>
      <c r="I109" s="3"/>
    </row>
    <row r="110" customFormat="false" ht="15" hidden="false" customHeight="true" outlineLevel="0" collapsed="false">
      <c r="A110" s="8" t="s">
        <v>623</v>
      </c>
      <c r="B110" s="3"/>
      <c r="C110" s="3"/>
      <c r="D110" s="24" t="n">
        <f aca="false">IFERROR((D39-D61)/(-D92-D93-D96+'2_Capital_Structure_Waterfall'!D68-'2_Capital_Structure_Waterfall'!D69+'2_Capital_Structure_Waterfall'!D76-'2_Capital_Structure_Waterfall'!D77+'2_Capital_Structure_Waterfall'!D83-'2_Capital_Structure_Waterfall'!D84),0)</f>
        <v>-0.635111799683896</v>
      </c>
      <c r="E110" s="24" t="n">
        <f aca="false">IFERROR((E39-E61)/(-E92-E93-E96+'2_Capital_Structure_Waterfall'!E68-'2_Capital_Structure_Waterfall'!E69+'2_Capital_Structure_Waterfall'!E76-'2_Capital_Structure_Waterfall'!E77+'2_Capital_Structure_Waterfall'!E83-'2_Capital_Structure_Waterfall'!E84),0)</f>
        <v>-0.770602933776791</v>
      </c>
      <c r="F110" s="24" t="n">
        <f aca="false">IFERROR((F39-F61)/(-F92-F93-F96+'2_Capital_Structure_Waterfall'!F68-'2_Capital_Structure_Waterfall'!F69+'2_Capital_Structure_Waterfall'!F76-'2_Capital_Structure_Waterfall'!F77+'2_Capital_Structure_Waterfall'!F83-'2_Capital_Structure_Waterfall'!F84),0)</f>
        <v>0.314781665715338</v>
      </c>
      <c r="G110" s="24" t="n">
        <f aca="false">IFERROR((G39-G61)/(-G92-G93-G96+'2_Capital_Structure_Waterfall'!G68-'2_Capital_Structure_Waterfall'!G69+'2_Capital_Structure_Waterfall'!G76-'2_Capital_Structure_Waterfall'!G77+'2_Capital_Structure_Waterfall'!G83-'2_Capital_Structure_Waterfall'!G84),0)</f>
        <v>2.32444865792608</v>
      </c>
      <c r="H110" s="24" t="n">
        <f aca="false">IFERROR((H39-H61)/(-H92-H93-H96+'2_Capital_Structure_Waterfall'!H68-'2_Capital_Structure_Waterfall'!H69+'2_Capital_Structure_Waterfall'!H76-'2_Capital_Structure_Waterfall'!H77+'2_Capital_Structure_Waterfall'!H83-'2_Capital_Structure_Waterfall'!H84),0)</f>
        <v>0.667620919359407</v>
      </c>
      <c r="I110" s="3"/>
    </row>
    <row r="111" customFormat="false" ht="15" hidden="false" customHeight="true" outlineLevel="0" collapsed="false">
      <c r="A111" s="6" t="s">
        <v>624</v>
      </c>
      <c r="B111" s="3"/>
      <c r="C111" s="3"/>
      <c r="D111" s="20" t="n">
        <f aca="false">SUM($D$101:D101)</f>
        <v>0</v>
      </c>
      <c r="E111" s="20" t="n">
        <f aca="false">SUM($D$101:E101)</f>
        <v>0</v>
      </c>
      <c r="F111" s="20" t="n">
        <f aca="false">SUM($D$101:F101)</f>
        <v>0</v>
      </c>
      <c r="G111" s="20" t="n">
        <f aca="false">SUM($D$101:G101)</f>
        <v>0</v>
      </c>
      <c r="H111" s="20" t="n">
        <f aca="false">SUM($D$101:H101)</f>
        <v>0</v>
      </c>
      <c r="I111" s="3"/>
    </row>
    <row r="112" customFormat="false" ht="15" hidden="false" customHeight="true" outlineLevel="0" collapsed="false">
      <c r="A112" s="5" t="s">
        <v>625</v>
      </c>
      <c r="B112" s="5"/>
      <c r="C112" s="5"/>
      <c r="D112" s="5"/>
      <c r="E112" s="5"/>
      <c r="F112" s="5"/>
      <c r="G112" s="5"/>
      <c r="H112" s="5"/>
      <c r="I112" s="5"/>
    </row>
    <row r="113" customFormat="false" ht="15" hidden="false" customHeight="true" outlineLevel="0" collapsed="false">
      <c r="A113" s="8" t="s">
        <v>626</v>
      </c>
      <c r="B113" s="12" t="n">
        <v>0.135</v>
      </c>
      <c r="C113" s="3"/>
      <c r="D113" s="3"/>
      <c r="E113" s="3"/>
      <c r="F113" s="3"/>
      <c r="G113" s="3"/>
      <c r="H113" s="3"/>
      <c r="I113" s="4" t="s">
        <v>627</v>
      </c>
    </row>
    <row r="114" customFormat="false" ht="15" hidden="false" customHeight="true" outlineLevel="0" collapsed="false">
      <c r="A114" s="8" t="s">
        <v>628</v>
      </c>
      <c r="B114" s="63" t="n">
        <v>8</v>
      </c>
      <c r="C114" s="3"/>
      <c r="D114" s="3"/>
      <c r="E114" s="3"/>
      <c r="F114" s="3"/>
      <c r="G114" s="3"/>
      <c r="H114" s="3"/>
      <c r="I114" s="4" t="s">
        <v>629</v>
      </c>
    </row>
    <row r="115" customFormat="false" ht="15" hidden="false" customHeight="true" outlineLevel="0" collapsed="false">
      <c r="A115" s="8" t="s">
        <v>630</v>
      </c>
      <c r="B115" s="12" t="n">
        <v>0.04</v>
      </c>
      <c r="C115" s="3"/>
      <c r="D115" s="3"/>
      <c r="E115" s="3"/>
      <c r="F115" s="3"/>
      <c r="G115" s="3"/>
      <c r="H115" s="3"/>
      <c r="I115" s="3"/>
    </row>
    <row r="116" customFormat="false" ht="15" hidden="false" customHeight="true" outlineLevel="0" collapsed="false">
      <c r="A116" s="6" t="s">
        <v>631</v>
      </c>
      <c r="B116" s="3"/>
      <c r="C116" s="3"/>
      <c r="D116" s="20" t="n">
        <f aca="false">D39+D56-D61+D89</f>
        <v>-398.981290925453</v>
      </c>
      <c r="E116" s="20" t="n">
        <f aca="false">E39+E56-E61+E89</f>
        <v>-1781.1588116542</v>
      </c>
      <c r="F116" s="20" t="n">
        <f aca="false">F39+F56-F61+F89</f>
        <v>-117.700748164457</v>
      </c>
      <c r="G116" s="20" t="n">
        <f aca="false">G39+G56-G61+G89</f>
        <v>5228.75771319537</v>
      </c>
      <c r="H116" s="20" t="n">
        <f aca="false">H39+H56-H61+H89</f>
        <v>10049.3198360306</v>
      </c>
      <c r="I116" s="3"/>
    </row>
    <row r="117" customFormat="false" ht="15" hidden="false" customHeight="true" outlineLevel="0" collapsed="false">
      <c r="A117" s="8" t="s">
        <v>632</v>
      </c>
      <c r="B117" s="3"/>
      <c r="C117" s="3"/>
      <c r="D117" s="64" t="n">
        <f aca="false">1/(1+$B$113)^(D$5-0.5)</f>
        <v>0.938646508927864</v>
      </c>
      <c r="E117" s="64" t="n">
        <f aca="false">1/(1+$B$113)^(E$5-0.5)</f>
        <v>0.827001329451863</v>
      </c>
      <c r="F117" s="64" t="n">
        <f aca="false">1/(1+$B$113)^(F$5-0.5)</f>
        <v>0.728635532556707</v>
      </c>
      <c r="G117" s="64" t="n">
        <f aca="false">1/(1+$B$113)^(G$5-0.5)</f>
        <v>0.641969632208553</v>
      </c>
      <c r="H117" s="64" t="n">
        <f aca="false">1/(1+$B$113)^(H$5-0.5)</f>
        <v>0.565612010756434</v>
      </c>
      <c r="I117" s="3"/>
    </row>
    <row r="118" customFormat="false" ht="15" hidden="false" customHeight="true" outlineLevel="0" collapsed="false">
      <c r="A118" s="8" t="s">
        <v>633</v>
      </c>
      <c r="B118" s="3"/>
      <c r="C118" s="3"/>
      <c r="D118" s="16" t="n">
        <f aca="false">D116*D117</f>
        <v>-374.502395854709</v>
      </c>
      <c r="E118" s="16" t="n">
        <f aca="false">E116*E117</f>
        <v>-1473.02070520293</v>
      </c>
      <c r="F118" s="16" t="n">
        <f aca="false">F116*F117</f>
        <v>-85.7609473211319</v>
      </c>
      <c r="G118" s="16" t="n">
        <f aca="false">G116*G117</f>
        <v>3356.70366604767</v>
      </c>
      <c r="H118" s="16" t="n">
        <f aca="false">H116*H117</f>
        <v>5684.0159991918</v>
      </c>
      <c r="I118" s="3"/>
    </row>
    <row r="119" customFormat="false" ht="15" hidden="false" customHeight="true" outlineLevel="0" collapsed="false">
      <c r="A119" s="8" t="s">
        <v>634</v>
      </c>
      <c r="B119" s="3"/>
      <c r="C119" s="3"/>
      <c r="D119" s="16" t="n">
        <f aca="false">0</f>
        <v>0</v>
      </c>
      <c r="E119" s="16" t="n">
        <f aca="false">0</f>
        <v>0</v>
      </c>
      <c r="F119" s="16" t="n">
        <f aca="false">0</f>
        <v>0</v>
      </c>
      <c r="G119" s="16" t="n">
        <f aca="false">0</f>
        <v>0</v>
      </c>
      <c r="H119" s="16" t="n">
        <f aca="false">$H$39*$B$114</f>
        <v>190109.455984721</v>
      </c>
      <c r="I119" s="3"/>
    </row>
    <row r="120" customFormat="false" ht="15" hidden="false" customHeight="true" outlineLevel="0" collapsed="false">
      <c r="A120" s="8" t="s">
        <v>635</v>
      </c>
      <c r="B120" s="3"/>
      <c r="C120" s="3"/>
      <c r="D120" s="16" t="n">
        <f aca="false">D119/(1+$B$113)^D$5</f>
        <v>0</v>
      </c>
      <c r="E120" s="16" t="n">
        <f aca="false">E119/(1+$B$113)^E$5</f>
        <v>0</v>
      </c>
      <c r="F120" s="16" t="n">
        <f aca="false">F119/(1+$B$113)^F$5</f>
        <v>0</v>
      </c>
      <c r="G120" s="16" t="n">
        <f aca="false">G119/(1+$B$113)^G$5</f>
        <v>0</v>
      </c>
      <c r="H120" s="16" t="n">
        <f aca="false">H119/(1+$B$113)^H$5</f>
        <v>100930.961716111</v>
      </c>
      <c r="I120" s="3"/>
    </row>
    <row r="121" customFormat="false" ht="15" hidden="false" customHeight="true" outlineLevel="0" collapsed="false">
      <c r="A121" s="6" t="s">
        <v>636</v>
      </c>
      <c r="B121" s="3"/>
      <c r="C121" s="20" t="n">
        <f aca="false">SUM(D118:H118)+SUM(D120:H120)</f>
        <v>108038.397332971</v>
      </c>
      <c r="D121" s="3"/>
      <c r="E121" s="3"/>
      <c r="F121" s="3"/>
      <c r="G121" s="3"/>
      <c r="H121" s="3"/>
      <c r="I121" s="3"/>
    </row>
    <row r="122" customFormat="false" ht="15" hidden="false" customHeight="true" outlineLevel="0" collapsed="false">
      <c r="A122" s="6" t="s">
        <v>637</v>
      </c>
      <c r="B122" s="3"/>
      <c r="C122" s="20" t="n">
        <f aca="false">SUM(D118:H118)+H116*(1+B115)/(B113-B115)/(1+B113)^5</f>
        <v>65514.7308305951</v>
      </c>
      <c r="D122" s="3"/>
      <c r="E122" s="3"/>
      <c r="F122" s="3"/>
      <c r="G122" s="3"/>
      <c r="H122" s="3"/>
      <c r="I122" s="3"/>
    </row>
    <row r="123" customFormat="false" ht="15" hidden="false" customHeight="true" outlineLevel="0" collapsed="false">
      <c r="A123" s="8" t="s">
        <v>199</v>
      </c>
      <c r="B123" s="3"/>
      <c r="C123" s="42" t="n">
        <f aca="false">SUM(D120:H120)/C121</f>
        <v>0.934213799979319</v>
      </c>
      <c r="D123" s="3"/>
      <c r="E123" s="3"/>
      <c r="F123" s="3"/>
      <c r="G123" s="3"/>
      <c r="H123" s="3"/>
      <c r="I123" s="3"/>
    </row>
    <row r="124" customFormat="false" ht="15" hidden="false" customHeight="true" outlineLevel="0" collapsed="false">
      <c r="A124" s="8" t="s">
        <v>638</v>
      </c>
      <c r="B124" s="3"/>
      <c r="C124" s="62" t="n">
        <f aca="false">C121/C39</f>
        <v>10.8955409642688</v>
      </c>
      <c r="D124" s="3"/>
      <c r="E124" s="3"/>
      <c r="F124" s="3"/>
      <c r="G124" s="3"/>
      <c r="H124" s="3"/>
      <c r="I124" s="3"/>
    </row>
    <row r="125" customFormat="false" ht="15" hidden="false" customHeight="true" outlineLevel="0" collapsed="false">
      <c r="A125" s="8" t="s">
        <v>639</v>
      </c>
      <c r="B125" s="3"/>
      <c r="C125" s="16" t="n">
        <f aca="false">SUM(F138:F145)</f>
        <v>-45011</v>
      </c>
      <c r="D125" s="3"/>
      <c r="E125" s="3"/>
      <c r="F125" s="3"/>
      <c r="G125" s="3"/>
      <c r="H125" s="3"/>
      <c r="I125" s="3"/>
    </row>
    <row r="126" customFormat="false" ht="15" hidden="false" customHeight="true" outlineLevel="0" collapsed="false">
      <c r="A126" s="8" t="s">
        <v>640</v>
      </c>
      <c r="B126" s="3"/>
      <c r="C126" s="16" t="n">
        <f aca="false">SUM(F134:F137)</f>
        <v>36558</v>
      </c>
      <c r="D126" s="3"/>
      <c r="E126" s="3"/>
      <c r="F126" s="3"/>
      <c r="G126" s="3"/>
      <c r="H126" s="3"/>
      <c r="I126" s="3"/>
    </row>
    <row r="127" customFormat="false" ht="15" hidden="false" customHeight="true" outlineLevel="0" collapsed="false">
      <c r="A127" s="6" t="s">
        <v>641</v>
      </c>
      <c r="B127" s="3"/>
      <c r="C127" s="20" t="n">
        <f aca="false">C121+C125+C126</f>
        <v>99585.3973329714</v>
      </c>
      <c r="D127" s="6" t="s">
        <v>642</v>
      </c>
      <c r="E127" s="3"/>
      <c r="F127" s="3"/>
      <c r="G127" s="3"/>
      <c r="H127" s="3"/>
      <c r="I127" s="3"/>
    </row>
    <row r="128" customFormat="false" ht="15" hidden="false" customHeight="true" outlineLevel="0" collapsed="false">
      <c r="A128" s="8" t="s">
        <v>643</v>
      </c>
      <c r="B128" s="3"/>
      <c r="C128" s="16" t="n">
        <f aca="false">'0_Control_Panel'!$B$25+'0_Control_Panel'!$B$26</f>
        <v>194345</v>
      </c>
      <c r="D128" s="16" t="n">
        <f aca="false">'0_Control_Panel'!$B$25+'0_Control_Panel'!$B$27</f>
        <v>156058</v>
      </c>
      <c r="E128" s="3"/>
      <c r="F128" s="3"/>
      <c r="G128" s="3"/>
      <c r="H128" s="3"/>
      <c r="I128" s="3"/>
    </row>
    <row r="129" customFormat="false" ht="15" hidden="false" customHeight="true" outlineLevel="0" collapsed="false">
      <c r="A129" s="6" t="s">
        <v>644</v>
      </c>
      <c r="B129" s="3"/>
      <c r="C129" s="13" t="n">
        <f aca="false">MIN(1,MAX(0,C127/C128))</f>
        <v>0.512415535943664</v>
      </c>
      <c r="D129" s="13" t="n">
        <f aca="false">MIN(1,MAX(0,$C$127/D128))</f>
        <v>0.63813067790803</v>
      </c>
      <c r="E129" s="4" t="str">
        <f aca="false">"← carrying basis: spectrum DPO + AGR at Ind AS carrying value = ₹"&amp;TEXT(D128,"#,##0")&amp;" cr vs ₹"&amp;TEXT(C128,"#,##0")&amp;" cr nominal (AGR face ₹"&amp;TEXT('0_Control_Panel'!B26,"#,##0")&amp;" cr vs carrying ₹"&amp;TEXT('0_Control_Panel'!B27,"#,##0")&amp;" cr). Same numerator, smaller denominator, so a higher %. Nominal = the legal claim (IBC); carrying = discounted value VIL books."</f>
        <v>← carrying basis: spectrum DPO + AGR at Ind AS carrying value = ₹156,058 cr vs ₹194,345 cr nominal (AGR face ₹64,046 cr vs carrying ₹25,759 cr). Same numerator, smaller denominator, so a higher %. Nominal = the legal claim (IBC); carrying = discounted value VIL books.</v>
      </c>
      <c r="F129" s="3"/>
      <c r="G129" s="3"/>
      <c r="H129" s="3"/>
      <c r="I129" s="3"/>
    </row>
    <row r="130" customFormat="false" ht="15" hidden="false" customHeight="true" outlineLevel="0" collapsed="false">
      <c r="A130" s="6" t="s">
        <v>645</v>
      </c>
      <c r="B130" s="3"/>
      <c r="C130" s="20" t="n">
        <f aca="false">C127-C128</f>
        <v>-94759.6026670286</v>
      </c>
      <c r="D130" s="3"/>
      <c r="E130" s="3"/>
      <c r="F130" s="3"/>
      <c r="G130" s="3"/>
      <c r="H130" s="3"/>
      <c r="I130" s="3"/>
    </row>
    <row r="131" customFormat="false" ht="15" hidden="false" customHeight="true" outlineLevel="0" collapsed="false">
      <c r="A131" s="5" t="s">
        <v>646</v>
      </c>
      <c r="B131" s="5"/>
      <c r="C131" s="5"/>
      <c r="D131" s="5"/>
      <c r="E131" s="5"/>
      <c r="F131" s="5"/>
      <c r="G131" s="5"/>
      <c r="H131" s="5"/>
    </row>
    <row r="132" customFormat="false" ht="15" hidden="false" customHeight="true" outlineLevel="0" collapsed="false">
      <c r="A132" s="47" t="s">
        <v>515</v>
      </c>
      <c r="B132" s="47" t="s">
        <v>647</v>
      </c>
      <c r="C132" s="47" t="s">
        <v>648</v>
      </c>
      <c r="D132" s="47" t="s">
        <v>649</v>
      </c>
      <c r="E132" s="47" t="s">
        <v>650</v>
      </c>
      <c r="F132" s="47" t="s">
        <v>127</v>
      </c>
    </row>
    <row r="133" customFormat="false" ht="15" hidden="false" customHeight="true" outlineLevel="0" collapsed="false">
      <c r="A133" s="8" t="s">
        <v>651</v>
      </c>
      <c r="B133" s="17" t="s">
        <v>652</v>
      </c>
      <c r="C133" s="16" t="n">
        <f aca="false">$C$121</f>
        <v>108038.397332971</v>
      </c>
      <c r="D133" s="16" t="n">
        <f aca="false">$C$121</f>
        <v>108038.397332971</v>
      </c>
      <c r="E133" s="16" t="n">
        <f aca="false">$C$121</f>
        <v>108038.397332971</v>
      </c>
      <c r="F133" s="16" t="n">
        <f aca="false">CHOOSE('0_Control_Panel'!$B$23,C133,D133,E133)</f>
        <v>108038.397332971</v>
      </c>
    </row>
    <row r="134" customFormat="false" ht="15" hidden="false" customHeight="true" outlineLevel="0" collapsed="false">
      <c r="A134" s="8" t="s">
        <v>653</v>
      </c>
      <c r="B134" s="17" t="s">
        <v>654</v>
      </c>
      <c r="C134" s="16" t="n">
        <f aca="false">'0_Control_Panel'!$E$89</f>
        <v>0</v>
      </c>
      <c r="D134" s="16" t="n">
        <f aca="false">'0_Control_Panel'!$E$89</f>
        <v>0</v>
      </c>
      <c r="E134" s="16" t="n">
        <f aca="false">'0_Control_Panel'!$E$89</f>
        <v>0</v>
      </c>
      <c r="F134" s="16" t="n">
        <f aca="false">CHOOSE('0_Control_Panel'!$B$23,C134,D134,E134)</f>
        <v>0</v>
      </c>
    </row>
    <row r="135" customFormat="false" ht="15" hidden="false" customHeight="true" outlineLevel="0" collapsed="false">
      <c r="A135" s="8" t="s">
        <v>655</v>
      </c>
      <c r="B135" s="17" t="s">
        <v>656</v>
      </c>
      <c r="C135" s="16" t="n">
        <f aca="false">'0_Control_Panel'!$B$30</f>
        <v>6558</v>
      </c>
      <c r="D135" s="16" t="n">
        <f aca="false">'0_Control_Panel'!$B$30</f>
        <v>6558</v>
      </c>
      <c r="E135" s="16" t="n">
        <f aca="false">'0_Control_Panel'!$B$30</f>
        <v>6558</v>
      </c>
      <c r="F135" s="16" t="n">
        <f aca="false">CHOOSE('0_Control_Panel'!$B$23,C135,D135,E135)</f>
        <v>6558</v>
      </c>
    </row>
    <row r="136" customFormat="false" ht="15" hidden="false" customHeight="true" outlineLevel="0" collapsed="false">
      <c r="A136" s="8" t="s">
        <v>657</v>
      </c>
      <c r="B136" s="17" t="s">
        <v>658</v>
      </c>
      <c r="C136" s="16" t="n">
        <f aca="false">'2_Capital_Structure_Waterfall'!$D$17</f>
        <v>15000</v>
      </c>
      <c r="D136" s="16" t="n">
        <f aca="false">'2_Capital_Structure_Waterfall'!$D$17</f>
        <v>15000</v>
      </c>
      <c r="E136" s="16" t="n">
        <f aca="false">'2_Capital_Structure_Waterfall'!$D$17</f>
        <v>15000</v>
      </c>
      <c r="F136" s="16" t="n">
        <f aca="false">CHOOSE('0_Control_Panel'!$B$23,C136,D136,E136)</f>
        <v>15000</v>
      </c>
    </row>
    <row r="137" customFormat="false" ht="15" hidden="false" customHeight="true" outlineLevel="0" collapsed="false">
      <c r="A137" s="8" t="s">
        <v>659</v>
      </c>
      <c r="B137" s="17" t="s">
        <v>658</v>
      </c>
      <c r="C137" s="16" t="n">
        <f aca="false">'0_Control_Panel'!$E$81</f>
        <v>15000</v>
      </c>
      <c r="D137" s="16" t="n">
        <f aca="false">'0_Control_Panel'!$E$81</f>
        <v>15000</v>
      </c>
      <c r="E137" s="16" t="n">
        <f aca="false">'0_Control_Panel'!$E$81</f>
        <v>15000</v>
      </c>
      <c r="F137" s="16" t="n">
        <f aca="false">CHOOSE('0_Control_Panel'!$B$23,C137,D137,E137)</f>
        <v>15000</v>
      </c>
    </row>
    <row r="138" customFormat="false" ht="15" hidden="false" customHeight="true" outlineLevel="0" collapsed="false">
      <c r="A138" s="8" t="s">
        <v>660</v>
      </c>
      <c r="B138" s="17" t="s">
        <v>661</v>
      </c>
      <c r="C138" s="16" t="n">
        <f aca="false">-'2_Capital_Structure_Waterfall'!$P$17</f>
        <v>-15000</v>
      </c>
      <c r="D138" s="16" t="n">
        <f aca="false">-'2_Capital_Structure_Waterfall'!$P$17</f>
        <v>-15000</v>
      </c>
      <c r="E138" s="16" t="n">
        <f aca="false">-'2_Capital_Structure_Waterfall'!$P$17</f>
        <v>-15000</v>
      </c>
      <c r="F138" s="16" t="n">
        <f aca="false">CHOOSE('0_Control_Panel'!$B$23,C138,D138,E138)</f>
        <v>-15000</v>
      </c>
    </row>
    <row r="139" customFormat="false" ht="15" hidden="false" customHeight="true" outlineLevel="0" collapsed="false">
      <c r="A139" s="8" t="s">
        <v>662</v>
      </c>
      <c r="B139" s="17" t="s">
        <v>663</v>
      </c>
      <c r="C139" s="16" t="n">
        <f aca="false">-'0_Control_Panel'!$E$81</f>
        <v>-15000</v>
      </c>
      <c r="D139" s="16" t="n">
        <f aca="false">-'0_Control_Panel'!$E$81</f>
        <v>-15000</v>
      </c>
      <c r="E139" s="16" t="n">
        <f aca="false">-'0_Control_Panel'!$E$81</f>
        <v>-15000</v>
      </c>
      <c r="F139" s="16" t="n">
        <f aca="false">CHOOSE('0_Control_Panel'!$B$23,C139,D139,E139)</f>
        <v>-15000</v>
      </c>
    </row>
    <row r="140" customFormat="false" ht="15" hidden="false" customHeight="true" outlineLevel="0" collapsed="false">
      <c r="A140" s="8" t="s">
        <v>664</v>
      </c>
      <c r="B140" s="17" t="s">
        <v>665</v>
      </c>
      <c r="C140" s="16" t="n">
        <f aca="false">-'2_Capital_Structure_Waterfall'!$P$16</f>
        <v>-211</v>
      </c>
      <c r="D140" s="16" t="n">
        <f aca="false">-'2_Capital_Structure_Waterfall'!$P$16</f>
        <v>-211</v>
      </c>
      <c r="E140" s="16" t="n">
        <f aca="false">-'2_Capital_Structure_Waterfall'!$P$16</f>
        <v>-211</v>
      </c>
      <c r="F140" s="16" t="n">
        <f aca="false">CHOOSE('0_Control_Panel'!$B$23,C140,D140,E140)</f>
        <v>-211</v>
      </c>
    </row>
    <row r="141" customFormat="false" ht="15" hidden="false" customHeight="true" outlineLevel="0" collapsed="false">
      <c r="A141" s="8" t="s">
        <v>666</v>
      </c>
      <c r="B141" s="17" t="s">
        <v>665</v>
      </c>
      <c r="C141" s="16" t="n">
        <f aca="false">-'2_Capital_Structure_Waterfall'!$P$18</f>
        <v>-3300</v>
      </c>
      <c r="D141" s="16" t="n">
        <f aca="false">-'2_Capital_Structure_Waterfall'!$P$18</f>
        <v>-3300</v>
      </c>
      <c r="E141" s="16" t="n">
        <f aca="false">-'2_Capital_Structure_Waterfall'!$P$18</f>
        <v>-3300</v>
      </c>
      <c r="F141" s="16" t="n">
        <f aca="false">CHOOSE('0_Control_Panel'!$B$23,C141,D141,E141)</f>
        <v>-3300</v>
      </c>
    </row>
    <row r="142" customFormat="false" ht="15" hidden="false" customHeight="true" outlineLevel="0" collapsed="false">
      <c r="A142" s="8" t="s">
        <v>667</v>
      </c>
      <c r="B142" s="17" t="s">
        <v>668</v>
      </c>
      <c r="C142" s="16" t="n">
        <v>0</v>
      </c>
      <c r="D142" s="16" t="n">
        <f aca="false">-('2_Capital_Structure_Waterfall'!$P$20+'2_Capital_Structure_Waterfall'!$P$21+'2_Capital_Structure_Waterfall'!$P$22)</f>
        <v>-11500</v>
      </c>
      <c r="E142" s="16" t="n">
        <f aca="false">-('2_Capital_Structure_Waterfall'!$P$20+'2_Capital_Structure_Waterfall'!$P$21+'2_Capital_Structure_Waterfall'!$P$22)</f>
        <v>-11500</v>
      </c>
      <c r="F142" s="16" t="n">
        <f aca="false">CHOOSE('0_Control_Panel'!$B$23,C142,D142,E142)</f>
        <v>-11500</v>
      </c>
    </row>
    <row r="143" customFormat="false" ht="15" hidden="false" customHeight="true" outlineLevel="0" collapsed="false">
      <c r="A143" s="8" t="s">
        <v>669</v>
      </c>
      <c r="B143" s="17" t="s">
        <v>670</v>
      </c>
      <c r="C143" s="16" t="n">
        <v>0</v>
      </c>
      <c r="D143" s="16" t="n">
        <v>0</v>
      </c>
      <c r="E143" s="16" t="n">
        <f aca="false">-'2_Capital_Structure_Waterfall'!$P$19</f>
        <v>-19500</v>
      </c>
      <c r="F143" s="16" t="n">
        <f aca="false">CHOOSE('0_Control_Panel'!$B$23,C143,D143,E143)</f>
        <v>0</v>
      </c>
    </row>
    <row r="144" customFormat="false" ht="15" hidden="false" customHeight="true" outlineLevel="0" collapsed="false">
      <c r="A144" s="8" t="s">
        <v>671</v>
      </c>
      <c r="B144" s="17" t="s">
        <v>672</v>
      </c>
      <c r="C144" s="16" t="n">
        <v>0</v>
      </c>
      <c r="D144" s="16" t="n">
        <v>0</v>
      </c>
      <c r="E144" s="16" t="n">
        <f aca="false">-'2_Capital_Structure_Waterfall'!$P$23</f>
        <v>-22000</v>
      </c>
      <c r="F144" s="16" t="n">
        <f aca="false">CHOOSE('0_Control_Panel'!$B$23,C144,D144,E144)</f>
        <v>0</v>
      </c>
    </row>
    <row r="145" customFormat="false" ht="15" hidden="false" customHeight="true" outlineLevel="0" collapsed="false">
      <c r="A145" s="8" t="s">
        <v>673</v>
      </c>
      <c r="B145" s="17" t="s">
        <v>674</v>
      </c>
      <c r="C145" s="16" t="n">
        <v>0</v>
      </c>
      <c r="D145" s="16" t="n">
        <v>0</v>
      </c>
      <c r="E145" s="16" t="n">
        <f aca="false">-'0_Control_Panel'!$B$49</f>
        <v>-4000</v>
      </c>
      <c r="F145" s="16" t="n">
        <f aca="false">CHOOSE('0_Control_Panel'!$B$23,C145,D145,E145)</f>
        <v>0</v>
      </c>
    </row>
    <row r="146" customFormat="false" ht="15" hidden="false" customHeight="true" outlineLevel="0" collapsed="false">
      <c r="A146" s="6" t="s">
        <v>675</v>
      </c>
      <c r="C146" s="20" t="n">
        <f aca="false">SUM(C133:C145)</f>
        <v>111085.397332971</v>
      </c>
      <c r="D146" s="20" t="n">
        <f aca="false">SUM(D133:D145)</f>
        <v>99585.3973329714</v>
      </c>
      <c r="E146" s="20" t="n">
        <f aca="false">SUM(E133:E145)</f>
        <v>54085.3973329714</v>
      </c>
      <c r="F146" s="20" t="n">
        <f aca="false">SUM(F133:F145)</f>
        <v>99585.3973329714</v>
      </c>
    </row>
    <row r="147" customFormat="false" ht="15" hidden="false" customHeight="true" outlineLevel="0" collapsed="false">
      <c r="A147" s="8" t="s">
        <v>643</v>
      </c>
      <c r="C147" s="16" t="n">
        <f aca="false">'0_Control_Panel'!$B$25+'0_Control_Panel'!$B$26</f>
        <v>194345</v>
      </c>
      <c r="D147" s="16" t="n">
        <f aca="false">'0_Control_Panel'!$B$25+'0_Control_Panel'!$B$26</f>
        <v>194345</v>
      </c>
      <c r="E147" s="16" t="n">
        <f aca="false">'0_Control_Panel'!$B$25+'0_Control_Panel'!$B$26</f>
        <v>194345</v>
      </c>
      <c r="F147" s="16" t="n">
        <f aca="false">'0_Control_Panel'!$B$25+'0_Control_Panel'!$B$26</f>
        <v>194345</v>
      </c>
    </row>
    <row r="148" customFormat="false" ht="15" hidden="false" customHeight="true" outlineLevel="0" collapsed="false">
      <c r="A148" s="6" t="s">
        <v>676</v>
      </c>
      <c r="C148" s="13" t="n">
        <f aca="false">MIN(1,MAX(0,C146/C147))</f>
        <v>0.571588655910733</v>
      </c>
      <c r="D148" s="13" t="n">
        <f aca="false">MIN(1,MAX(0,D146/D147))</f>
        <v>0.512415535943664</v>
      </c>
      <c r="E148" s="13" t="n">
        <f aca="false">MIN(1,MAX(0,E146/E147))</f>
        <v>0.278295800421783</v>
      </c>
      <c r="F148" s="13" t="n">
        <f aca="false">MIN(1,MAX(0,F146/F147))</f>
        <v>0.512415535943664</v>
      </c>
    </row>
    <row r="149" customFormat="false" ht="15" hidden="false" customHeight="true" outlineLevel="0" collapsed="false">
      <c r="A149" s="8" t="s">
        <v>645</v>
      </c>
      <c r="C149" s="16" t="n">
        <f aca="false">C146-C147</f>
        <v>-83259.6026670286</v>
      </c>
      <c r="D149" s="16" t="n">
        <f aca="false">D146-D147</f>
        <v>-94759.6026670286</v>
      </c>
      <c r="E149" s="16" t="n">
        <f aca="false">E146-E147</f>
        <v>-140259.602667029</v>
      </c>
      <c r="F149" s="16" t="n">
        <f aca="false">F146-F147</f>
        <v>-94759.6026670286</v>
      </c>
    </row>
    <row r="150" customFormat="false" ht="15" hidden="false" customHeight="true" outlineLevel="0" collapsed="false">
      <c r="A150" s="65" t="s">
        <v>677</v>
      </c>
      <c r="C150" s="66" t="n">
        <f aca="false">MAX(0,($C$121-('0_Control_Panel'!$B$52+'0_Control_Panel'!$B$56+'0_Control_Panel'!$B$57+'0_Control_Panel'!$B$28+'0_Control_Panel'!$B$29)+'0_Control_Panel'!$B$30)/$C$128)</f>
        <v>0.298877755192937</v>
      </c>
    </row>
    <row r="151" customFormat="false" ht="15" hidden="false" customHeight="true" outlineLevel="0" collapsed="false">
      <c r="A151" s="6" t="s">
        <v>678</v>
      </c>
      <c r="C151" s="13" t="n">
        <f aca="false">MIN(C148:E148)</f>
        <v>0.278295800421783</v>
      </c>
    </row>
    <row r="152" customFormat="false" ht="15" hidden="false" customHeight="true" outlineLevel="0" collapsed="false">
      <c r="A152" s="6" t="s">
        <v>679</v>
      </c>
      <c r="C152" s="13" t="n">
        <f aca="false">MAX(C148:E148)</f>
        <v>0.571588655910733</v>
      </c>
    </row>
    <row r="153" customFormat="false" ht="15" hidden="false" customHeight="true" outlineLevel="0" collapsed="false">
      <c r="A153" s="8" t="s">
        <v>680</v>
      </c>
      <c r="C153" s="16" t="n">
        <f aca="false">ROUND(F146-C127,2)+ROUND(F148-C129,6)</f>
        <v>0</v>
      </c>
    </row>
    <row r="155" customFormat="false" ht="15" hidden="false" customHeight="true" outlineLevel="0" collapsed="false">
      <c r="A155" s="5" t="s">
        <v>681</v>
      </c>
      <c r="B155" s="5"/>
      <c r="C155" s="5"/>
      <c r="D155" s="5"/>
      <c r="E155" s="5"/>
      <c r="F155" s="5"/>
      <c r="G155" s="5"/>
      <c r="H155" s="5"/>
    </row>
    <row r="156" customFormat="false" ht="15" hidden="false" customHeight="true" outlineLevel="0" collapsed="false">
      <c r="A156" s="8" t="s">
        <v>682</v>
      </c>
      <c r="B156" s="12" t="n">
        <v>0.01</v>
      </c>
      <c r="C156" s="63" t="n">
        <v>1</v>
      </c>
    </row>
    <row r="158" customFormat="false" ht="15" hidden="false" customHeight="true" outlineLevel="0" collapsed="false">
      <c r="A158" s="6" t="s">
        <v>683</v>
      </c>
    </row>
    <row r="159" customFormat="false" ht="15" hidden="false" customHeight="true" outlineLevel="0" collapsed="false">
      <c r="A159" s="47" t="s">
        <v>684</v>
      </c>
      <c r="B159" s="47"/>
      <c r="C159" s="67" t="n">
        <f aca="false">$B$113+(0-2)*$B$156</f>
        <v>0.115</v>
      </c>
      <c r="D159" s="67" t="n">
        <f aca="false">$B$113+(1-2)*$B$156</f>
        <v>0.125</v>
      </c>
      <c r="E159" s="67" t="n">
        <f aca="false">$B$113+(2-2)*$B$156</f>
        <v>0.135</v>
      </c>
      <c r="F159" s="67" t="n">
        <f aca="false">$B$113+(3-2)*$B$156</f>
        <v>0.145</v>
      </c>
      <c r="G159" s="67" t="n">
        <f aca="false">$B$113+(4-2)*$B$156</f>
        <v>0.155</v>
      </c>
    </row>
    <row r="160" customFormat="false" ht="15" hidden="false" customHeight="true" outlineLevel="0" collapsed="false">
      <c r="B160" s="27" t="n">
        <f aca="false">$B$114+(0-2)*$C$156</f>
        <v>6</v>
      </c>
      <c r="C160" s="16" t="n">
        <f aca="false">SUMPRODUCT($D$116:$H$116,(1+C$159)^(-($D$5:$H$5-0.5)))+$B160*$H$39/(1+C$159)^5</f>
        <v>90484.5661003834</v>
      </c>
      <c r="D160" s="16" t="n">
        <f aca="false">SUMPRODUCT($D$116:$H$116,(1+D$159)^(-($D$5:$H$5-0.5)))+$B160*$H$39/(1+D$159)^5</f>
        <v>86543.6240342721</v>
      </c>
      <c r="E160" s="16" t="n">
        <f aca="false">SUMPRODUCT($D$116:$H$116,(1+E$159)^(-($D$5:$H$5-0.5)))+$B160*$H$39/(1+E$159)^5</f>
        <v>82805.6569039437</v>
      </c>
      <c r="F160" s="16" t="n">
        <f aca="false">SUMPRODUCT($D$116:$H$116,(1+F$159)^(-($D$5:$H$5-0.5)))+$B160*$H$39/(1+F$159)^5</f>
        <v>79258.5584310425</v>
      </c>
      <c r="G160" s="16" t="n">
        <f aca="false">SUMPRODUCT($D$116:$H$116,(1+G$159)^(-($D$5:$H$5-0.5)))+$B160*$H$39/(1+G$159)^5</f>
        <v>75891.0416687461</v>
      </c>
    </row>
    <row r="161" customFormat="false" ht="15" hidden="false" customHeight="true" outlineLevel="0" collapsed="false">
      <c r="B161" s="27" t="n">
        <f aca="false">$B$114+(1-2)*$C$156</f>
        <v>7</v>
      </c>
      <c r="C161" s="16" t="n">
        <f aca="false">SUMPRODUCT($D$116:$H$116,(1+C$159)^(-($D$5:$H$5-0.5)))+$B161*$H$39/(1+C$159)^5</f>
        <v>104273.776402411</v>
      </c>
      <c r="D161" s="16" t="n">
        <f aca="false">SUMPRODUCT($D$116:$H$116,(1+D$159)^(-($D$5:$H$5-0.5)))+$B161*$H$39/(1+D$159)^5</f>
        <v>99730.7793072389</v>
      </c>
      <c r="E161" s="16" t="n">
        <f aca="false">SUMPRODUCT($D$116:$H$116,(1+E$159)^(-($D$5:$H$5-0.5)))+$B161*$H$39/(1+E$159)^5</f>
        <v>95422.0271184576</v>
      </c>
      <c r="F161" s="16" t="n">
        <f aca="false">SUMPRODUCT($D$116:$H$116,(1+F$159)^(-($D$5:$H$5-0.5)))+$B161*$H$39/(1+F$159)^5</f>
        <v>91333.5350558979</v>
      </c>
      <c r="G161" s="16" t="n">
        <f aca="false">SUMPRODUCT($D$116:$H$116,(1+G$159)^(-($D$5:$H$5-0.5)))+$B161*$H$39/(1+G$159)^5</f>
        <v>87452.2655401527</v>
      </c>
    </row>
    <row r="162" customFormat="false" ht="15" hidden="false" customHeight="true" outlineLevel="0" collapsed="false">
      <c r="B162" s="27" t="n">
        <f aca="false">$B$114+(2-2)*$C$156</f>
        <v>8</v>
      </c>
      <c r="C162" s="16" t="n">
        <f aca="false">SUMPRODUCT($D$116:$H$116,(1+C$159)^(-($D$5:$H$5-0.5)))+$B162*$H$39/(1+C$159)^5</f>
        <v>118062.986704438</v>
      </c>
      <c r="D162" s="16" t="n">
        <f aca="false">SUMPRODUCT($D$116:$H$116,(1+D$159)^(-($D$5:$H$5-0.5)))+$B162*$H$39/(1+D$159)^5</f>
        <v>112917.934580206</v>
      </c>
      <c r="E162" s="16" t="n">
        <f aca="false">SUMPRODUCT($D$116:$H$116,(1+E$159)^(-($D$5:$H$5-0.5)))+$B162*$H$39/(1+E$159)^5</f>
        <v>108038.397332971</v>
      </c>
      <c r="F162" s="16" t="n">
        <f aca="false">SUMPRODUCT($D$116:$H$116,(1+F$159)^(-($D$5:$H$5-0.5)))+$B162*$H$39/(1+F$159)^5</f>
        <v>103408.511680753</v>
      </c>
      <c r="G162" s="16" t="n">
        <f aca="false">SUMPRODUCT($D$116:$H$116,(1+G$159)^(-($D$5:$H$5-0.5)))+$B162*$H$39/(1+G$159)^5</f>
        <v>99013.4894115593</v>
      </c>
    </row>
    <row r="163" customFormat="false" ht="15" hidden="false" customHeight="true" outlineLevel="0" collapsed="false">
      <c r="B163" s="27" t="n">
        <f aca="false">$B$114+(3-2)*$C$156</f>
        <v>9</v>
      </c>
      <c r="C163" s="16" t="n">
        <f aca="false">SUMPRODUCT($D$116:$H$116,(1+C$159)^(-($D$5:$H$5-0.5)))+$B163*$H$39/(1+C$159)^5</f>
        <v>131852.197006465</v>
      </c>
      <c r="D163" s="16" t="n">
        <f aca="false">SUMPRODUCT($D$116:$H$116,(1+D$159)^(-($D$5:$H$5-0.5)))+$B163*$H$39/(1+D$159)^5</f>
        <v>126105.089853172</v>
      </c>
      <c r="E163" s="16" t="n">
        <f aca="false">SUMPRODUCT($D$116:$H$116,(1+E$159)^(-($D$5:$H$5-0.5)))+$B163*$H$39/(1+E$159)^5</f>
        <v>120654.767547485</v>
      </c>
      <c r="F163" s="16" t="n">
        <f aca="false">SUMPRODUCT($D$116:$H$116,(1+F$159)^(-($D$5:$H$5-0.5)))+$B163*$H$39/(1+F$159)^5</f>
        <v>115483.488305609</v>
      </c>
      <c r="G163" s="16" t="n">
        <f aca="false">SUMPRODUCT($D$116:$H$116,(1+G$159)^(-($D$5:$H$5-0.5)))+$B163*$H$39/(1+G$159)^5</f>
        <v>110574.713282966</v>
      </c>
    </row>
    <row r="164" customFormat="false" ht="15" hidden="false" customHeight="true" outlineLevel="0" collapsed="false">
      <c r="B164" s="27" t="n">
        <f aca="false">$B$114+(4-2)*$C$156</f>
        <v>10</v>
      </c>
      <c r="C164" s="16" t="n">
        <f aca="false">SUMPRODUCT($D$116:$H$116,(1+C$159)^(-($D$5:$H$5-0.5)))+$B164*$H$39/(1+C$159)^5</f>
        <v>145641.407308493</v>
      </c>
      <c r="D164" s="16" t="n">
        <f aca="false">SUMPRODUCT($D$116:$H$116,(1+D$159)^(-($D$5:$H$5-0.5)))+$B164*$H$39/(1+D$159)^5</f>
        <v>139292.245126139</v>
      </c>
      <c r="E164" s="16" t="n">
        <f aca="false">SUMPRODUCT($D$116:$H$116,(1+E$159)^(-($D$5:$H$5-0.5)))+$B164*$H$39/(1+E$159)^5</f>
        <v>133271.137761999</v>
      </c>
      <c r="F164" s="16" t="n">
        <f aca="false">SUMPRODUCT($D$116:$H$116,(1+F$159)^(-($D$5:$H$5-0.5)))+$B164*$H$39/(1+F$159)^5</f>
        <v>127558.464930464</v>
      </c>
      <c r="G164" s="16" t="n">
        <f aca="false">SUMPRODUCT($D$116:$H$116,(1+G$159)^(-($D$5:$H$5-0.5)))+$B164*$H$39/(1+G$159)^5</f>
        <v>122135.937154373</v>
      </c>
    </row>
    <row r="166" customFormat="false" ht="15" hidden="false" customHeight="true" outlineLevel="0" collapsed="false">
      <c r="A166" s="6" t="s">
        <v>685</v>
      </c>
    </row>
    <row r="167" customFormat="false" ht="15" hidden="false" customHeight="true" outlineLevel="0" collapsed="false">
      <c r="A167" s="47" t="s">
        <v>684</v>
      </c>
      <c r="B167" s="47"/>
      <c r="C167" s="67" t="n">
        <f aca="false">$B$113+(0-2)*$B$156</f>
        <v>0.115</v>
      </c>
      <c r="D167" s="67" t="n">
        <f aca="false">$B$113+(1-2)*$B$156</f>
        <v>0.125</v>
      </c>
      <c r="E167" s="67" t="n">
        <f aca="false">$B$113+(2-2)*$B$156</f>
        <v>0.135</v>
      </c>
      <c r="F167" s="67" t="n">
        <f aca="false">$B$113+(3-2)*$B$156</f>
        <v>0.145</v>
      </c>
      <c r="G167" s="67" t="n">
        <f aca="false">$B$113+(4-2)*$B$156</f>
        <v>0.155</v>
      </c>
    </row>
    <row r="168" customFormat="false" ht="15" hidden="false" customHeight="true" outlineLevel="0" collapsed="false">
      <c r="B168" s="27" t="n">
        <f aca="false">$B$114+(0-2)*$C$156</f>
        <v>6</v>
      </c>
      <c r="C168" s="42" t="n">
        <f aca="false">MIN(1,MAX(0,(C160+$C$125+$C$126)/$C$128))</f>
        <v>0.422092495821263</v>
      </c>
      <c r="D168" s="42" t="n">
        <f aca="false">MIN(1,MAX(0,(D160+$C$125+$C$126)/$C$128))</f>
        <v>0.401814422981153</v>
      </c>
      <c r="E168" s="42" t="n">
        <f aca="false">MIN(1,MAX(0,(E160+$C$125+$C$126)/$C$128))</f>
        <v>0.382580755378033</v>
      </c>
      <c r="F168" s="42" t="n">
        <f aca="false">MIN(1,MAX(0,(F160+$C$125+$C$126)/$C$128))</f>
        <v>0.364329200293511</v>
      </c>
      <c r="G168" s="42" t="n">
        <f aca="false">MIN(1,MAX(0,(G160+$C$125+$C$126)/$C$128))</f>
        <v>0.347001680870339</v>
      </c>
    </row>
    <row r="169" customFormat="false" ht="15" hidden="false" customHeight="true" outlineLevel="0" collapsed="false">
      <c r="B169" s="27" t="n">
        <f aca="false">$B$114+(1-2)*$C$156</f>
        <v>7</v>
      </c>
      <c r="C169" s="42" t="n">
        <f aca="false">MIN(1,MAX(0,(C161+$C$125+$C$126)/$C$128))</f>
        <v>0.493044721512829</v>
      </c>
      <c r="D169" s="42" t="n">
        <f aca="false">MIN(1,MAX(0,(D161+$C$125+$C$126)/$C$128))</f>
        <v>0.469668781328251</v>
      </c>
      <c r="E169" s="42" t="n">
        <f aca="false">MIN(1,MAX(0,(E161+$C$125+$C$126)/$C$128))</f>
        <v>0.447498145660848</v>
      </c>
      <c r="F169" s="42" t="n">
        <f aca="false">MIN(1,MAX(0,(F161+$C$125+$C$126)/$C$128))</f>
        <v>0.426460855982392</v>
      </c>
      <c r="G169" s="42" t="n">
        <f aca="false">MIN(1,MAX(0,(G161+$C$125+$C$126)/$C$128))</f>
        <v>0.40648982757546</v>
      </c>
    </row>
    <row r="170" customFormat="false" ht="15" hidden="false" customHeight="true" outlineLevel="0" collapsed="false">
      <c r="B170" s="27" t="n">
        <f aca="false">$B$114+(2-2)*$C$156</f>
        <v>8</v>
      </c>
      <c r="C170" s="42" t="n">
        <f aca="false">MIN(1,MAX(0,(C162+$C$125+$C$126)/$C$128))</f>
        <v>0.563996947204395</v>
      </c>
      <c r="D170" s="42" t="n">
        <f aca="false">MIN(1,MAX(0,(D162+$C$125+$C$126)/$C$128))</f>
        <v>0.537523139675349</v>
      </c>
      <c r="E170" s="42" t="n">
        <f aca="false">MIN(1,MAX(0,(E162+$C$125+$C$126)/$C$128))</f>
        <v>0.512415535943664</v>
      </c>
      <c r="F170" s="42" t="n">
        <f aca="false">MIN(1,MAX(0,(F162+$C$125+$C$126)/$C$128))</f>
        <v>0.488592511671272</v>
      </c>
      <c r="G170" s="42" t="n">
        <f aca="false">MIN(1,MAX(0,(G162+$C$125+$C$126)/$C$128))</f>
        <v>0.46597797428058</v>
      </c>
    </row>
    <row r="171" customFormat="false" ht="15" hidden="false" customHeight="true" outlineLevel="0" collapsed="false">
      <c r="B171" s="27" t="n">
        <f aca="false">$B$114+(3-2)*$C$156</f>
        <v>9</v>
      </c>
      <c r="C171" s="42" t="n">
        <f aca="false">MIN(1,MAX(0,(C163+$C$125+$C$126)/$C$128))</f>
        <v>0.634949172895961</v>
      </c>
      <c r="D171" s="42" t="n">
        <f aca="false">MIN(1,MAX(0,(D163+$C$125+$C$126)/$C$128))</f>
        <v>0.605377498022447</v>
      </c>
      <c r="E171" s="42" t="n">
        <f aca="false">MIN(1,MAX(0,(E163+$C$125+$C$126)/$C$128))</f>
        <v>0.57733292622648</v>
      </c>
      <c r="F171" s="42" t="n">
        <f aca="false">MIN(1,MAX(0,(F163+$C$125+$C$126)/$C$128))</f>
        <v>0.550724167360152</v>
      </c>
      <c r="G171" s="42" t="n">
        <f aca="false">MIN(1,MAX(0,(G163+$C$125+$C$126)/$C$128))</f>
        <v>0.5254661209857</v>
      </c>
    </row>
    <row r="172" customFormat="false" ht="15" hidden="false" customHeight="true" outlineLevel="0" collapsed="false">
      <c r="B172" s="27" t="n">
        <f aca="false">$B$114+(4-2)*$C$156</f>
        <v>10</v>
      </c>
      <c r="C172" s="42" t="n">
        <f aca="false">MIN(1,MAX(0,(C164+$C$125+$C$126)/$C$128))</f>
        <v>0.705901398587527</v>
      </c>
      <c r="D172" s="42" t="n">
        <f aca="false">MIN(1,MAX(0,(D164+$C$125+$C$126)/$C$128))</f>
        <v>0.673231856369545</v>
      </c>
      <c r="E172" s="42" t="n">
        <f aca="false">MIN(1,MAX(0,(E164+$C$125+$C$126)/$C$128))</f>
        <v>0.642250316509296</v>
      </c>
      <c r="F172" s="42" t="n">
        <f aca="false">MIN(1,MAX(0,(F164+$C$125+$C$126)/$C$128))</f>
        <v>0.612855823049032</v>
      </c>
      <c r="G172" s="42" t="n">
        <f aca="false">MIN(1,MAX(0,(G164+$C$125+$C$126)/$C$128))</f>
        <v>0.584954267690821</v>
      </c>
    </row>
    <row r="174" customFormat="false" ht="15" hidden="false" customHeight="true" outlineLevel="0" collapsed="false">
      <c r="A174" s="6" t="s">
        <v>686</v>
      </c>
    </row>
    <row r="175" customFormat="false" ht="15" hidden="false" customHeight="true" outlineLevel="0" collapsed="false">
      <c r="A175" s="47" t="s">
        <v>684</v>
      </c>
      <c r="B175" s="47"/>
      <c r="C175" s="67" t="n">
        <f aca="false">$B$113+(0-2)*$B$156</f>
        <v>0.115</v>
      </c>
      <c r="D175" s="67" t="n">
        <f aca="false">$B$113+(1-2)*$B$156</f>
        <v>0.125</v>
      </c>
      <c r="E175" s="67" t="n">
        <f aca="false">$B$113+(2-2)*$B$156</f>
        <v>0.135</v>
      </c>
      <c r="F175" s="67" t="n">
        <f aca="false">$B$113+(3-2)*$B$156</f>
        <v>0.145</v>
      </c>
      <c r="G175" s="67" t="n">
        <f aca="false">$B$113+(4-2)*$B$156</f>
        <v>0.155</v>
      </c>
    </row>
    <row r="176" customFormat="false" ht="15" hidden="false" customHeight="true" outlineLevel="0" collapsed="false">
      <c r="B176" s="27" t="n">
        <f aca="false">$B$114+(0-2)*$C$156</f>
        <v>6</v>
      </c>
      <c r="C176" s="42" t="n">
        <f aca="false">($B176*$H$39/(1+C$175)^5)/C160</f>
        <v>0.914357722844998</v>
      </c>
      <c r="D176" s="42" t="n">
        <f aca="false">($B176*$H$39/(1+D$175)^5)/D160</f>
        <v>0.914254891919795</v>
      </c>
      <c r="E176" s="42" t="n">
        <f aca="false">($B176*$H$39/(1+E$175)^5)/E160</f>
        <v>0.914167269693839</v>
      </c>
      <c r="F176" s="42" t="n">
        <f aca="false">($B176*$H$39/(1+F$175)^5)/F160</f>
        <v>0.914095098161119</v>
      </c>
      <c r="G176" s="42" t="n">
        <f aca="false">($B176*$H$39/(1+G$175)^5)/G160</f>
        <v>0.914038623046164</v>
      </c>
    </row>
    <row r="177" customFormat="false" ht="15" hidden="false" customHeight="true" outlineLevel="0" collapsed="false">
      <c r="B177" s="27" t="n">
        <f aca="false">$B$114+(1-2)*$C$156</f>
        <v>7</v>
      </c>
      <c r="C177" s="42" t="n">
        <f aca="false">($B177*$H$39/(1+C$175)^5)/C161</f>
        <v>0.925683095447572</v>
      </c>
      <c r="D177" s="42" t="n">
        <f aca="false">($B177*$H$39/(1+D$175)^5)/D161</f>
        <v>0.925592756338437</v>
      </c>
      <c r="E177" s="42" t="n">
        <f aca="false">($B177*$H$39/(1+E$175)^5)/E161</f>
        <v>0.925515776267911</v>
      </c>
      <c r="F177" s="42" t="n">
        <f aca="false">($B177*$H$39/(1+F$175)^5)/F161</f>
        <v>0.925452368861636</v>
      </c>
      <c r="G177" s="42" t="n">
        <f aca="false">($B177*$H$39/(1+G$175)^5)/G161</f>
        <v>0.92540275086057</v>
      </c>
    </row>
    <row r="178" customFormat="false" ht="15" hidden="false" customHeight="true" outlineLevel="0" collapsed="false">
      <c r="B178" s="27" t="n">
        <f aca="false">$B$114+(2-2)*$C$156</f>
        <v>8</v>
      </c>
      <c r="C178" s="42" t="n">
        <f aca="false">($B178*$H$39/(1+C$175)^5)/C162</f>
        <v>0.934362965866525</v>
      </c>
      <c r="D178" s="42" t="n">
        <f aca="false">($B178*$H$39/(1+D$175)^5)/D162</f>
        <v>0.934282428880238</v>
      </c>
      <c r="E178" s="42" t="n">
        <f aca="false">($B178*$H$39/(1+E$175)^5)/E162</f>
        <v>0.934213799979319</v>
      </c>
      <c r="F178" s="42" t="n">
        <f aca="false">($B178*$H$39/(1+F$175)^5)/F162</f>
        <v>0.934157270313202</v>
      </c>
      <c r="G178" s="42" t="n">
        <f aca="false">($B178*$H$39/(1+G$175)^5)/G162</f>
        <v>0.934113033697964</v>
      </c>
    </row>
    <row r="179" customFormat="false" ht="15" hidden="false" customHeight="true" outlineLevel="0" collapsed="false">
      <c r="B179" s="27" t="n">
        <f aca="false">$B$114+(3-2)*$C$156</f>
        <v>9</v>
      </c>
      <c r="C179" s="42" t="n">
        <f aca="false">($B179*$H$39/(1+C$175)^5)/C163</f>
        <v>0.941227340429988</v>
      </c>
      <c r="D179" s="42" t="n">
        <f aca="false">($B179*$H$39/(1+D$175)^5)/D163</f>
        <v>0.941154695618461</v>
      </c>
      <c r="E179" s="42" t="n">
        <f aca="false">($B179*$H$39/(1+E$175)^5)/E163</f>
        <v>0.941092790932911</v>
      </c>
      <c r="F179" s="42" t="n">
        <f aca="false">($B179*$H$39/(1+F$175)^5)/F163</f>
        <v>0.941041799292624</v>
      </c>
      <c r="G179" s="42" t="n">
        <f aca="false">($B179*$H$39/(1+G$175)^5)/G163</f>
        <v>0.941001895943317</v>
      </c>
    </row>
    <row r="180" customFormat="false" ht="15" hidden="false" customHeight="true" outlineLevel="0" collapsed="false">
      <c r="B180" s="27" t="n">
        <f aca="false">$B$114+(4-2)*$C$156</f>
        <v>10</v>
      </c>
      <c r="C180" s="42" t="n">
        <f aca="false">($B180*$H$39/(1+C$175)^5)/C164</f>
        <v>0.946791888162651</v>
      </c>
      <c r="D180" s="42" t="n">
        <f aca="false">($B180*$H$39/(1+D$175)^5)/D164</f>
        <v>0.946725732005028</v>
      </c>
      <c r="E180" s="42" t="n">
        <f aca="false">($B180*$H$39/(1+E$175)^5)/E164</f>
        <v>0.946669355899449</v>
      </c>
      <c r="F180" s="42" t="n">
        <f aca="false">($B180*$H$39/(1+F$175)^5)/F164</f>
        <v>0.946622917690162</v>
      </c>
      <c r="G180" s="42" t="n">
        <f aca="false">($B180*$H$39/(1+G$175)^5)/G164</f>
        <v>0.94658657728183</v>
      </c>
    </row>
    <row r="182" customFormat="false" ht="15" hidden="false" customHeight="true" outlineLevel="0" collapsed="false">
      <c r="A182" s="6" t="s">
        <v>687</v>
      </c>
    </row>
    <row r="183" customFormat="false" ht="15" hidden="false" customHeight="true" outlineLevel="0" collapsed="false">
      <c r="A183" s="47" t="s">
        <v>684</v>
      </c>
      <c r="B183" s="47"/>
      <c r="C183" s="67" t="n">
        <f aca="false">$B$113+(0-2)*$B$156</f>
        <v>0.115</v>
      </c>
      <c r="D183" s="67" t="n">
        <f aca="false">$B$113+(1-2)*$B$156</f>
        <v>0.125</v>
      </c>
      <c r="E183" s="67" t="n">
        <f aca="false">$B$113+(2-2)*$B$156</f>
        <v>0.135</v>
      </c>
      <c r="F183" s="67" t="n">
        <f aca="false">$B$113+(3-2)*$B$156</f>
        <v>0.145</v>
      </c>
      <c r="G183" s="67" t="n">
        <f aca="false">$B$113+(4-2)*$B$156</f>
        <v>0.155</v>
      </c>
    </row>
    <row r="184" customFormat="false" ht="15" hidden="false" customHeight="true" outlineLevel="0" collapsed="false">
      <c r="B184" s="27" t="n">
        <f aca="false">$B$114+(0-2)*$C$156</f>
        <v>6</v>
      </c>
      <c r="C184" s="62" t="n">
        <f aca="false">C160/'4_Liquidation_Waterfall'!$G$18</f>
        <v>1.92458815949398</v>
      </c>
      <c r="D184" s="62" t="n">
        <f aca="false">D160/'4_Liquidation_Waterfall'!$G$18</f>
        <v>1.84076513016901</v>
      </c>
      <c r="E184" s="62" t="n">
        <f aca="false">E160/'4_Liquidation_Waterfall'!$G$18</f>
        <v>1.76125933609109</v>
      </c>
      <c r="F184" s="62" t="n">
        <f aca="false">F160/'4_Liquidation_Waterfall'!$G$18</f>
        <v>1.68581327920298</v>
      </c>
      <c r="G184" s="62" t="n">
        <f aca="false">G160/'4_Liquidation_Waterfall'!$G$18</f>
        <v>1.61418688846113</v>
      </c>
    </row>
    <row r="185" customFormat="false" ht="15" hidden="false" customHeight="true" outlineLevel="0" collapsed="false">
      <c r="B185" s="27" t="n">
        <f aca="false">$B$114+(1-2)*$C$156</f>
        <v>7</v>
      </c>
      <c r="C185" s="62" t="n">
        <f aca="false">C161/'4_Liquidation_Waterfall'!$G$18</f>
        <v>2.21788183398221</v>
      </c>
      <c r="D185" s="62" t="n">
        <f aca="false">D161/'4_Liquidation_Waterfall'!$G$18</f>
        <v>2.12125321769108</v>
      </c>
      <c r="E185" s="62" t="n">
        <f aca="false">E161/'4_Liquidation_Waterfall'!$G$18</f>
        <v>2.02960694250728</v>
      </c>
      <c r="F185" s="62" t="n">
        <f aca="false">F161/'4_Liquidation_Waterfall'!$G$18</f>
        <v>1.94264555502538</v>
      </c>
      <c r="G185" s="62" t="n">
        <f aca="false">G161/'4_Liquidation_Waterfall'!$G$18</f>
        <v>1.86009174860583</v>
      </c>
    </row>
    <row r="186" customFormat="false" ht="15" hidden="false" customHeight="true" outlineLevel="0" collapsed="false">
      <c r="B186" s="27" t="n">
        <f aca="false">$B$114+(2-2)*$C$156</f>
        <v>8</v>
      </c>
      <c r="C186" s="62" t="n">
        <f aca="false">C162/'4_Liquidation_Waterfall'!$G$18</f>
        <v>2.51117550847044</v>
      </c>
      <c r="D186" s="62" t="n">
        <f aca="false">D162/'4_Liquidation_Waterfall'!$G$18</f>
        <v>2.40174130521315</v>
      </c>
      <c r="E186" s="62" t="n">
        <f aca="false">E162/'4_Liquidation_Waterfall'!$G$18</f>
        <v>2.29795454892348</v>
      </c>
      <c r="F186" s="62" t="n">
        <f aca="false">F162/'4_Liquidation_Waterfall'!$G$18</f>
        <v>2.19947783084777</v>
      </c>
      <c r="G186" s="62" t="n">
        <f aca="false">G162/'4_Liquidation_Waterfall'!$G$18</f>
        <v>2.10599660875052</v>
      </c>
    </row>
    <row r="187" customFormat="false" ht="15" hidden="false" customHeight="true" outlineLevel="0" collapsed="false">
      <c r="B187" s="27" t="n">
        <f aca="false">$B$114+(3-2)*$C$156</f>
        <v>9</v>
      </c>
      <c r="C187" s="62" t="n">
        <f aca="false">C163/'4_Liquidation_Waterfall'!$G$18</f>
        <v>2.80446918295866</v>
      </c>
      <c r="D187" s="62" t="n">
        <f aca="false">D163/'4_Liquidation_Waterfall'!$G$18</f>
        <v>2.68222939273521</v>
      </c>
      <c r="E187" s="62" t="n">
        <f aca="false">E163/'4_Liquidation_Waterfall'!$G$18</f>
        <v>2.56630215533967</v>
      </c>
      <c r="F187" s="62" t="n">
        <f aca="false">F163/'4_Liquidation_Waterfall'!$G$18</f>
        <v>2.45631010667017</v>
      </c>
      <c r="G187" s="62" t="n">
        <f aca="false">G163/'4_Liquidation_Waterfall'!$G$18</f>
        <v>2.35190146889522</v>
      </c>
    </row>
    <row r="188" customFormat="false" ht="15" hidden="false" customHeight="true" outlineLevel="0" collapsed="false">
      <c r="B188" s="27" t="n">
        <f aca="false">$B$114+(4-2)*$C$156</f>
        <v>10</v>
      </c>
      <c r="C188" s="62" t="n">
        <f aca="false">C164/'4_Liquidation_Waterfall'!$G$18</f>
        <v>3.09776285744689</v>
      </c>
      <c r="D188" s="62" t="n">
        <f aca="false">D164/'4_Liquidation_Waterfall'!$G$18</f>
        <v>2.96271748025728</v>
      </c>
      <c r="E188" s="62" t="n">
        <f aca="false">E164/'4_Liquidation_Waterfall'!$G$18</f>
        <v>2.83464976175587</v>
      </c>
      <c r="F188" s="62" t="n">
        <f aca="false">F164/'4_Liquidation_Waterfall'!$G$18</f>
        <v>2.71314238249256</v>
      </c>
      <c r="G188" s="62" t="n">
        <f aca="false">G164/'4_Liquidation_Waterfall'!$G$18</f>
        <v>2.59780632903992</v>
      </c>
    </row>
    <row r="190" customFormat="false" ht="15" hidden="false" customHeight="true" outlineLevel="0" collapsed="false">
      <c r="A190" s="8" t="s">
        <v>688</v>
      </c>
      <c r="C190" s="16" t="n">
        <f aca="false">ROUND(E162-C121,2)</f>
        <v>0</v>
      </c>
    </row>
    <row r="192" customFormat="false" ht="15" hidden="false" customHeight="true" outlineLevel="0" collapsed="false">
      <c r="A192" s="5" t="s">
        <v>689</v>
      </c>
      <c r="B192" s="5"/>
      <c r="C192" s="5"/>
      <c r="D192" s="5"/>
      <c r="E192" s="5"/>
      <c r="F192" s="5"/>
      <c r="G192" s="5"/>
      <c r="H192" s="5"/>
    </row>
    <row r="193" customFormat="false" ht="15" hidden="false" customHeight="true" outlineLevel="0" collapsed="false">
      <c r="A193" s="8" t="s">
        <v>690</v>
      </c>
      <c r="B193" s="12" t="n">
        <v>0.066</v>
      </c>
      <c r="C193" s="17" t="s">
        <v>691</v>
      </c>
    </row>
    <row r="194" customFormat="false" ht="15" hidden="false" customHeight="true" outlineLevel="0" collapsed="false">
      <c r="A194" s="8" t="s">
        <v>692</v>
      </c>
      <c r="B194" s="68" t="n">
        <v>1.3</v>
      </c>
      <c r="C194" s="17" t="s">
        <v>693</v>
      </c>
    </row>
    <row r="195" customFormat="false" ht="15" hidden="false" customHeight="true" outlineLevel="0" collapsed="false">
      <c r="A195" s="8" t="s">
        <v>694</v>
      </c>
      <c r="B195" s="12" t="n">
        <v>0.07</v>
      </c>
      <c r="C195" s="17" t="s">
        <v>695</v>
      </c>
    </row>
    <row r="196" customFormat="false" ht="15" hidden="false" customHeight="true" outlineLevel="0" collapsed="false">
      <c r="A196" s="8" t="s">
        <v>696</v>
      </c>
      <c r="B196" s="42" t="n">
        <f aca="false">B193+B194*B195</f>
        <v>0.157</v>
      </c>
    </row>
    <row r="197" customFormat="false" ht="15" hidden="false" customHeight="true" outlineLevel="0" collapsed="false">
      <c r="A197" s="8" t="s">
        <v>697</v>
      </c>
      <c r="B197" s="12" t="n">
        <v>0.105</v>
      </c>
      <c r="C197" s="17" t="s">
        <v>698</v>
      </c>
    </row>
    <row r="198" customFormat="false" ht="15" hidden="false" customHeight="true" outlineLevel="0" collapsed="false">
      <c r="A198" s="8" t="s">
        <v>699</v>
      </c>
      <c r="B198" s="12" t="n">
        <v>0</v>
      </c>
      <c r="C198" s="17" t="s">
        <v>700</v>
      </c>
    </row>
    <row r="199" customFormat="false" ht="15" hidden="false" customHeight="true" outlineLevel="0" collapsed="false">
      <c r="A199" s="8" t="s">
        <v>701</v>
      </c>
      <c r="B199" s="42" t="n">
        <f aca="false">B113</f>
        <v>0.135</v>
      </c>
    </row>
    <row r="200" customFormat="false" ht="15" hidden="false" customHeight="true" outlineLevel="0" collapsed="false">
      <c r="A200" s="8" t="s">
        <v>702</v>
      </c>
      <c r="B200" s="13" t="n">
        <f aca="false">(B196-B199)/(B196-B197*(1-B198))</f>
        <v>0.423076923076923</v>
      </c>
      <c r="C200" s="17" t="s">
        <v>703</v>
      </c>
    </row>
  </sheetData>
  <conditionalFormatting sqref="C81:H81">
    <cfRule type="cellIs" priority="2" operator="lessThan" aboveAverage="0" equalAverage="0" bottom="0" percent="0" rank="0" text="" dxfId="0">
      <formula>0</formula>
    </cfRule>
  </conditionalFormatting>
  <conditionalFormatting sqref="C83:H83">
    <cfRule type="cellIs" priority="3" operator="notEqual" aboveAverage="0" equalAverage="0" bottom="0" percent="0" rank="0" text="" dxfId="2">
      <formula>0</formula>
    </cfRule>
  </conditionalFormatting>
  <conditionalFormatting sqref="D99:H99">
    <cfRule type="cellIs" priority="4" operator="lessThan" aboveAverage="0" equalAverage="0" bottom="0" percent="0" rank="0" text="" dxfId="0">
      <formula>0</formula>
    </cfRule>
  </conditionalFormatting>
  <conditionalFormatting sqref="D101:H101">
    <cfRule type="cellIs" priority="5" operator="greaterThan" aboveAverage="0" equalAverage="0" bottom="0" percent="0" rank="0" text="" dxfId="0">
      <formula>0</formula>
    </cfRule>
  </conditionalFormatting>
  <conditionalFormatting sqref="D110:H110">
    <cfRule type="cellIs" priority="6" operator="lessThan" aboveAverage="0" equalAverage="0" bottom="0" percent="0" rank="0" text="" dxfId="0">
      <formula>1</formula>
    </cfRule>
  </conditionalFormatting>
  <conditionalFormatting sqref="C130">
    <cfRule type="cellIs" priority="7" operator="lessThan" aboveAverage="0" equalAverage="0" bottom="0" percent="0" rank="0" text="" dxfId="0">
      <formula>0</formula>
    </cfRule>
  </conditionalFormatting>
  <conditionalFormatting sqref="C149:F149">
    <cfRule type="expression" priority="8" aboveAverage="0" equalAverage="0" bottom="0" percent="0" rank="0" text="" dxfId="3">
      <formula>C149&lt;0</formula>
    </cfRule>
  </conditionalFormatting>
  <conditionalFormatting sqref="C168:G172">
    <cfRule type="expression" priority="9" aboveAverage="0" equalAverage="0" bottom="0" percent="0" rank="0" text="" dxfId="3">
      <formula>C168&lt;0.3</formula>
    </cfRule>
  </conditionalFormatting>
  <conditionalFormatting sqref="C184:G188">
    <cfRule type="expression" priority="10" aboveAverage="0" equalAverage="0" bottom="0" percent="0" rank="0" text="" dxfId="3">
      <formula>C184&lt;1.5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6" min="3" style="1" width="13"/>
    <col collapsed="false" customWidth="true" hidden="false" outlineLevel="0" max="7" min="7" style="1" width="14"/>
    <col collapsed="false" customWidth="true" hidden="false" outlineLevel="0" max="8" min="8" style="1" width="62"/>
  </cols>
  <sheetData>
    <row r="1" customFormat="false" ht="15.75" hidden="false" customHeight="true" outlineLevel="0" collapsed="false">
      <c r="A1" s="2" t="s">
        <v>704</v>
      </c>
      <c r="B1" s="3"/>
      <c r="C1" s="3"/>
      <c r="D1" s="3"/>
      <c r="E1" s="3"/>
      <c r="F1" s="3"/>
      <c r="G1" s="3"/>
      <c r="H1" s="3"/>
    </row>
    <row r="2" customFormat="false" ht="15" hidden="false" customHeight="true" outlineLevel="0" collapsed="false">
      <c r="A2" s="4" t="s">
        <v>705</v>
      </c>
      <c r="B2" s="3"/>
      <c r="C2" s="3"/>
      <c r="D2" s="3"/>
      <c r="E2" s="3"/>
      <c r="F2" s="3"/>
      <c r="G2" s="3"/>
      <c r="H2" s="3"/>
    </row>
    <row r="3" customFormat="false" ht="15" hidden="false" customHeight="true" outlineLevel="0" collapsed="false">
      <c r="A3" s="3"/>
      <c r="B3" s="3"/>
      <c r="C3" s="3"/>
      <c r="D3" s="3"/>
      <c r="E3" s="3"/>
      <c r="F3" s="3"/>
      <c r="G3" s="3"/>
      <c r="H3" s="3"/>
    </row>
    <row r="4" customFormat="false" ht="15" hidden="false" customHeight="true" outlineLevel="0" collapsed="false">
      <c r="A4" s="5" t="s">
        <v>706</v>
      </c>
      <c r="B4" s="5"/>
      <c r="C4" s="5"/>
      <c r="D4" s="5"/>
      <c r="E4" s="5"/>
      <c r="F4" s="5"/>
      <c r="G4" s="5"/>
      <c r="H4" s="5"/>
    </row>
    <row r="5" customFormat="false" ht="15" hidden="false" customHeight="true" outlineLevel="0" collapsed="false">
      <c r="A5" s="8" t="s">
        <v>707</v>
      </c>
      <c r="B5" s="10" t="n">
        <v>2</v>
      </c>
      <c r="C5" s="3"/>
      <c r="D5" s="3"/>
      <c r="E5" s="3"/>
      <c r="F5" s="3"/>
      <c r="G5" s="3"/>
      <c r="H5" s="4" t="s">
        <v>708</v>
      </c>
    </row>
    <row r="6" customFormat="false" ht="15" hidden="false" customHeight="true" outlineLevel="0" collapsed="false">
      <c r="A6" s="8" t="s">
        <v>709</v>
      </c>
      <c r="B6" s="10" t="n">
        <v>1</v>
      </c>
      <c r="C6" s="3"/>
      <c r="D6" s="3"/>
      <c r="E6" s="3"/>
      <c r="F6" s="3"/>
      <c r="G6" s="3"/>
      <c r="H6" s="4" t="s">
        <v>710</v>
      </c>
    </row>
    <row r="7" customFormat="false" ht="15" hidden="false" customHeight="true" outlineLevel="0" collapsed="false">
      <c r="A7" s="8" t="s">
        <v>711</v>
      </c>
      <c r="B7" s="10" t="n">
        <v>0</v>
      </c>
      <c r="C7" s="3"/>
      <c r="D7" s="3"/>
      <c r="E7" s="3"/>
      <c r="F7" s="3"/>
      <c r="G7" s="3"/>
      <c r="H7" s="4" t="s">
        <v>712</v>
      </c>
    </row>
    <row r="8" customFormat="false" ht="15" hidden="false" customHeight="true" outlineLevel="0" collapsed="false">
      <c r="A8" s="8" t="s">
        <v>713</v>
      </c>
      <c r="B8" s="10" t="n">
        <v>0</v>
      </c>
      <c r="C8" s="3"/>
      <c r="D8" s="3"/>
      <c r="E8" s="3"/>
      <c r="F8" s="3"/>
      <c r="G8" s="3"/>
      <c r="H8" s="4" t="s">
        <v>714</v>
      </c>
    </row>
    <row r="9" customFormat="false" ht="15" hidden="false" customHeight="true" outlineLevel="0" collapsed="false">
      <c r="A9" s="3"/>
      <c r="B9" s="3"/>
      <c r="C9" s="3"/>
      <c r="D9" s="3"/>
      <c r="E9" s="3"/>
      <c r="F9" s="3"/>
      <c r="G9" s="3"/>
      <c r="H9" s="3"/>
    </row>
    <row r="10" customFormat="false" ht="15" hidden="false" customHeight="true" outlineLevel="0" collapsed="false">
      <c r="A10" s="5" t="s">
        <v>715</v>
      </c>
      <c r="B10" s="5"/>
      <c r="C10" s="5"/>
      <c r="D10" s="5"/>
      <c r="E10" s="5"/>
      <c r="F10" s="5"/>
      <c r="G10" s="5"/>
      <c r="H10" s="5"/>
    </row>
    <row r="11" customFormat="false" ht="15" hidden="false" customHeight="true" outlineLevel="0" collapsed="false">
      <c r="A11" s="21" t="s">
        <v>716</v>
      </c>
      <c r="B11" s="21" t="s">
        <v>717</v>
      </c>
      <c r="C11" s="21" t="s">
        <v>718</v>
      </c>
      <c r="D11" s="21" t="s">
        <v>719</v>
      </c>
      <c r="E11" s="21" t="s">
        <v>720</v>
      </c>
      <c r="F11" s="21" t="s">
        <v>721</v>
      </c>
      <c r="G11" s="21" t="s">
        <v>722</v>
      </c>
      <c r="H11" s="21" t="s">
        <v>723</v>
      </c>
    </row>
    <row r="12" customFormat="false" ht="15" hidden="false" customHeight="true" outlineLevel="0" collapsed="false">
      <c r="A12" s="8" t="s">
        <v>724</v>
      </c>
      <c r="B12" s="16" t="n">
        <f aca="false">'0_Control_Panel'!$B$62*$B$6</f>
        <v>95000</v>
      </c>
      <c r="C12" s="12" t="n">
        <v>0.25</v>
      </c>
      <c r="D12" s="12" t="n">
        <v>0.35</v>
      </c>
      <c r="E12" s="12" t="n">
        <v>0.45</v>
      </c>
      <c r="F12" s="42" t="n">
        <f aca="false">CHOOSE($B$5,C12,D12,E12)</f>
        <v>0.35</v>
      </c>
      <c r="G12" s="20" t="n">
        <f aca="false">B12*F12</f>
        <v>33250</v>
      </c>
      <c r="H12" s="4" t="s">
        <v>725</v>
      </c>
    </row>
    <row r="13" customFormat="false" ht="15" hidden="false" customHeight="true" outlineLevel="0" collapsed="false">
      <c r="A13" s="8" t="s">
        <v>726</v>
      </c>
      <c r="B13" s="16" t="n">
        <f aca="false">'0_Control_Panel'!$B$61</f>
        <v>38000</v>
      </c>
      <c r="C13" s="12" t="n">
        <v>0.1</v>
      </c>
      <c r="D13" s="12" t="n">
        <v>0.15</v>
      </c>
      <c r="E13" s="12" t="n">
        <v>0.2</v>
      </c>
      <c r="F13" s="42" t="n">
        <f aca="false">CHOOSE($B$5,C13,D13,E13)</f>
        <v>0.15</v>
      </c>
      <c r="G13" s="20" t="n">
        <f aca="false">B13*F13</f>
        <v>5700</v>
      </c>
      <c r="H13" s="4" t="s">
        <v>727</v>
      </c>
    </row>
    <row r="14" customFormat="false" ht="15" hidden="false" customHeight="true" outlineLevel="0" collapsed="false">
      <c r="A14" s="8" t="s">
        <v>728</v>
      </c>
      <c r="B14" s="16" t="n">
        <f aca="false">'0_Control_Panel'!$B$63</f>
        <v>15000</v>
      </c>
      <c r="C14" s="12" t="n">
        <v>0</v>
      </c>
      <c r="D14" s="12" t="n">
        <v>0</v>
      </c>
      <c r="E14" s="12" t="n">
        <v>0.02</v>
      </c>
      <c r="F14" s="42" t="n">
        <f aca="false">CHOOSE($B$5,C14,D14,E14)</f>
        <v>0</v>
      </c>
      <c r="G14" s="20" t="n">
        <f aca="false">B14*F14</f>
        <v>0</v>
      </c>
      <c r="H14" s="4" t="s">
        <v>729</v>
      </c>
    </row>
    <row r="15" customFormat="false" ht="15" hidden="false" customHeight="true" outlineLevel="0" collapsed="false">
      <c r="A15" s="8" t="s">
        <v>730</v>
      </c>
      <c r="B15" s="16" t="n">
        <f aca="false">MAX(0,'1_TWCF_13_Week_Liquidity'!$B$75)</f>
        <v>3000.02794456231</v>
      </c>
      <c r="C15" s="12" t="n">
        <v>1</v>
      </c>
      <c r="D15" s="12" t="n">
        <v>1</v>
      </c>
      <c r="E15" s="12" t="n">
        <v>1</v>
      </c>
      <c r="F15" s="42" t="n">
        <f aca="false">CHOOSE($B$5,C15,D15,E15)</f>
        <v>1</v>
      </c>
      <c r="G15" s="20" t="n">
        <f aca="false">B15*F15</f>
        <v>3000.02794456231</v>
      </c>
      <c r="H15" s="4" t="s">
        <v>731</v>
      </c>
    </row>
    <row r="16" customFormat="false" ht="15" hidden="false" customHeight="true" outlineLevel="0" collapsed="false">
      <c r="A16" s="8" t="s">
        <v>113</v>
      </c>
      <c r="B16" s="16" t="n">
        <f aca="false">'0_Control_Panel'!$B$59</f>
        <v>2400</v>
      </c>
      <c r="C16" s="12" t="n">
        <v>0.5</v>
      </c>
      <c r="D16" s="12" t="n">
        <v>0.6</v>
      </c>
      <c r="E16" s="12" t="n">
        <v>0.7</v>
      </c>
      <c r="F16" s="42" t="n">
        <f aca="false">CHOOSE($B$5,C16,D16,E16)</f>
        <v>0.6</v>
      </c>
      <c r="G16" s="20" t="n">
        <f aca="false">B16*F16</f>
        <v>1440</v>
      </c>
      <c r="H16" s="4" t="s">
        <v>732</v>
      </c>
    </row>
    <row r="17" customFormat="false" ht="15" hidden="false" customHeight="true" outlineLevel="0" collapsed="false">
      <c r="A17" s="8" t="s">
        <v>733</v>
      </c>
      <c r="B17" s="16" t="n">
        <f aca="false">'0_Control_Panel'!$B$60</f>
        <v>14500</v>
      </c>
      <c r="C17" s="12" t="n">
        <v>0.15</v>
      </c>
      <c r="D17" s="12" t="n">
        <v>0.25</v>
      </c>
      <c r="E17" s="12" t="n">
        <v>0.35</v>
      </c>
      <c r="F17" s="42" t="n">
        <f aca="false">CHOOSE($B$5,C17,D17,E17)</f>
        <v>0.25</v>
      </c>
      <c r="G17" s="20" t="n">
        <f aca="false">B17*F17</f>
        <v>3625</v>
      </c>
      <c r="H17" s="4" t="s">
        <v>734</v>
      </c>
    </row>
    <row r="18" customFormat="false" ht="15" hidden="false" customHeight="true" outlineLevel="0" collapsed="false">
      <c r="A18" s="54" t="s">
        <v>735</v>
      </c>
      <c r="B18" s="56" t="n">
        <f aca="false">SUM(B12:B17)</f>
        <v>167900.027944562</v>
      </c>
      <c r="C18" s="55"/>
      <c r="D18" s="55"/>
      <c r="E18" s="55"/>
      <c r="F18" s="69" t="n">
        <f aca="false">G18/B18</f>
        <v>0.280017987609185</v>
      </c>
      <c r="G18" s="56" t="n">
        <f aca="false">SUM(G12:G17)</f>
        <v>47015.0279445623</v>
      </c>
      <c r="H18" s="55"/>
    </row>
    <row r="19" customFormat="false" ht="15" hidden="false" customHeight="true" outlineLevel="0" collapsed="false">
      <c r="A19" s="8" t="s">
        <v>736</v>
      </c>
      <c r="B19" s="3"/>
      <c r="C19" s="16" t="n">
        <f aca="false">SUMPRODUCT(B12:B17,C12:C17)</f>
        <v>33925.0279445623</v>
      </c>
      <c r="D19" s="3"/>
      <c r="E19" s="16" t="n">
        <f aca="false">SUMPRODUCT(B12:B17,E12:E17)</f>
        <v>60405.0279445623</v>
      </c>
      <c r="F19" s="3"/>
      <c r="G19" s="3"/>
      <c r="H19" s="3"/>
    </row>
    <row r="20" customFormat="false" ht="15" hidden="false" customHeight="true" outlineLevel="0" collapsed="false">
      <c r="A20" s="3"/>
      <c r="B20" s="3"/>
      <c r="C20" s="3"/>
      <c r="D20" s="3"/>
      <c r="E20" s="3"/>
      <c r="F20" s="3"/>
      <c r="G20" s="3"/>
      <c r="H20" s="3"/>
    </row>
    <row r="21" customFormat="false" ht="15" hidden="false" customHeight="true" outlineLevel="0" collapsed="false">
      <c r="A21" s="5" t="s">
        <v>737</v>
      </c>
      <c r="B21" s="5"/>
      <c r="C21" s="5"/>
      <c r="D21" s="5"/>
      <c r="E21" s="5"/>
      <c r="F21" s="5"/>
      <c r="G21" s="5"/>
      <c r="H21" s="5"/>
    </row>
    <row r="22" customFormat="false" ht="15" hidden="false" customHeight="true" outlineLevel="0" collapsed="false">
      <c r="A22" s="21" t="s">
        <v>738</v>
      </c>
      <c r="B22" s="21" t="s">
        <v>739</v>
      </c>
      <c r="C22" s="21" t="s">
        <v>740</v>
      </c>
      <c r="D22" s="21" t="s">
        <v>741</v>
      </c>
      <c r="E22" s="21" t="s">
        <v>742</v>
      </c>
      <c r="F22" s="21" t="s">
        <v>743</v>
      </c>
      <c r="G22" s="21"/>
      <c r="H22" s="21" t="s">
        <v>744</v>
      </c>
    </row>
    <row r="23" customFormat="false" ht="15" hidden="false" customHeight="true" outlineLevel="0" collapsed="false">
      <c r="A23" s="8" t="s">
        <v>745</v>
      </c>
      <c r="B23" s="14" t="n">
        <v>150</v>
      </c>
      <c r="C23" s="3"/>
      <c r="D23" s="3"/>
      <c r="E23" s="3"/>
      <c r="F23" s="3"/>
      <c r="G23" s="3"/>
      <c r="H23" s="3"/>
    </row>
    <row r="24" customFormat="false" ht="15" hidden="false" customHeight="true" outlineLevel="0" collapsed="false">
      <c r="A24" s="8" t="s">
        <v>746</v>
      </c>
      <c r="B24" s="14" t="n">
        <v>700</v>
      </c>
      <c r="C24" s="3"/>
      <c r="D24" s="3"/>
      <c r="E24" s="3"/>
      <c r="F24" s="3"/>
      <c r="G24" s="3"/>
      <c r="H24" s="3"/>
    </row>
    <row r="25" customFormat="false" ht="15" hidden="false" customHeight="true" outlineLevel="0" collapsed="false">
      <c r="A25" s="8" t="s">
        <v>747</v>
      </c>
      <c r="B25" s="16" t="n">
        <f aca="false">'0_Control_Panel'!$B$42+'0_Control_Panel'!$B$43+2*'0_Control_Panel'!$B$47+'1_TWCF_13_Week_Liquidity'!$B$9*'1_TWCF_13_Week_Liquidity'!$B$17</f>
        <v>23402.31025</v>
      </c>
      <c r="C25" s="3"/>
      <c r="D25" s="3"/>
      <c r="E25" s="3"/>
      <c r="F25" s="3"/>
      <c r="G25" s="3"/>
      <c r="H25" s="3"/>
    </row>
    <row r="26" customFormat="false" ht="15" hidden="false" customHeight="true" outlineLevel="0" collapsed="false">
      <c r="A26" s="8" t="s">
        <v>748</v>
      </c>
      <c r="B26" s="16" t="n">
        <f aca="false">'0_Control_Panel'!$B$25+'0_Control_Panel'!$B$26</f>
        <v>194345</v>
      </c>
      <c r="C26" s="3"/>
      <c r="D26" s="3"/>
      <c r="E26" s="3"/>
      <c r="F26" s="3"/>
      <c r="G26" s="3"/>
      <c r="H26" s="3"/>
    </row>
    <row r="27" customFormat="false" ht="15" hidden="false" customHeight="true" outlineLevel="0" collapsed="false">
      <c r="A27" s="8" t="s">
        <v>749</v>
      </c>
      <c r="B27" s="16" t="n">
        <f aca="false">'0_Control_Panel'!$B$28+'0_Control_Panel'!$B$29+'0_Control_Panel'!$B$58*'0_Control_Panel'!$B$83*$B$8</f>
        <v>3511</v>
      </c>
      <c r="C27" s="3"/>
      <c r="D27" s="3"/>
      <c r="E27" s="3"/>
      <c r="F27" s="3"/>
      <c r="G27" s="3"/>
      <c r="H27" s="4" t="s">
        <v>750</v>
      </c>
    </row>
    <row r="28" customFormat="false" ht="15" hidden="false" customHeight="true" outlineLevel="0" collapsed="false">
      <c r="A28" s="8" t="s">
        <v>751</v>
      </c>
      <c r="B28" s="16" t="n">
        <f aca="false">'0_Control_Panel'!$B$52+'0_Control_Panel'!$B$56+'0_Control_Panel'!$B$57</f>
        <v>53000</v>
      </c>
      <c r="C28" s="3"/>
      <c r="D28" s="3"/>
      <c r="E28" s="3"/>
      <c r="F28" s="3"/>
      <c r="G28" s="3"/>
      <c r="H28" s="3"/>
    </row>
    <row r="29" customFormat="false" ht="15" hidden="false" customHeight="true" outlineLevel="0" collapsed="false">
      <c r="A29" s="3"/>
      <c r="B29" s="3"/>
      <c r="C29" s="3"/>
      <c r="D29" s="3"/>
      <c r="E29" s="3"/>
      <c r="F29" s="3"/>
      <c r="G29" s="3"/>
      <c r="H29" s="3"/>
    </row>
    <row r="30" customFormat="false" ht="15" hidden="false" customHeight="true" outlineLevel="0" collapsed="false">
      <c r="A30" s="8" t="s">
        <v>752</v>
      </c>
      <c r="B30" s="16" t="n">
        <f aca="false">'0_Control_Panel'!$D$85</f>
        <v>2500</v>
      </c>
      <c r="C30" s="16" t="n">
        <f aca="false">$G$18</f>
        <v>47015.0279445623</v>
      </c>
      <c r="D30" s="20" t="n">
        <f aca="false">MIN(B30,C30)</f>
        <v>2500</v>
      </c>
      <c r="E30" s="13" t="n">
        <f aca="false">IFERROR(D30/B30,0)</f>
        <v>1</v>
      </c>
      <c r="F30" s="16" t="n">
        <f aca="false">B30-D30</f>
        <v>0</v>
      </c>
      <c r="G30" s="3"/>
      <c r="H30" s="4" t="s">
        <v>753</v>
      </c>
    </row>
    <row r="31" customFormat="false" ht="15" hidden="false" customHeight="true" outlineLevel="0" collapsed="false">
      <c r="A31" s="8" t="s">
        <v>754</v>
      </c>
      <c r="B31" s="16" t="n">
        <f aca="false">$B$23+$B$27+$B$7*$B$26</f>
        <v>3661</v>
      </c>
      <c r="C31" s="16" t="n">
        <f aca="false">C30-D30</f>
        <v>44515.0279445623</v>
      </c>
      <c r="D31" s="20" t="n">
        <f aca="false">MIN(B31,C31)</f>
        <v>3661</v>
      </c>
      <c r="E31" s="13" t="n">
        <f aca="false">IFERROR(D31/B31,0)</f>
        <v>1</v>
      </c>
      <c r="F31" s="16" t="n">
        <f aca="false">B31-D31</f>
        <v>0</v>
      </c>
      <c r="G31" s="3"/>
      <c r="H31" s="4" t="s">
        <v>755</v>
      </c>
    </row>
    <row r="32" customFormat="false" ht="15" hidden="false" customHeight="true" outlineLevel="0" collapsed="false">
      <c r="A32" s="8" t="s">
        <v>756</v>
      </c>
      <c r="B32" s="16" t="n">
        <f aca="false">$B$24</f>
        <v>700</v>
      </c>
      <c r="C32" s="16" t="n">
        <f aca="false">C31-D31</f>
        <v>40854.0279445623</v>
      </c>
      <c r="D32" s="20" t="n">
        <f aca="false">MIN(B32,C32)</f>
        <v>700</v>
      </c>
      <c r="E32" s="13" t="n">
        <f aca="false">IFERROR(D32/B32,0)</f>
        <v>1</v>
      </c>
      <c r="F32" s="16" t="n">
        <f aca="false">B32-D32</f>
        <v>0</v>
      </c>
      <c r="G32" s="3"/>
      <c r="H32" s="4"/>
    </row>
    <row r="33" customFormat="false" ht="15" hidden="false" customHeight="true" outlineLevel="0" collapsed="false">
      <c r="A33" s="8" t="s">
        <v>757</v>
      </c>
      <c r="B33" s="16" t="n">
        <f aca="false">0</f>
        <v>0</v>
      </c>
      <c r="C33" s="16" t="n">
        <f aca="false">C32-D32</f>
        <v>40154.0279445623</v>
      </c>
      <c r="D33" s="20" t="n">
        <f aca="false">MIN(B33,C33)</f>
        <v>0</v>
      </c>
      <c r="E33" s="13" t="n">
        <f aca="false">IFERROR(D33/B33,0)</f>
        <v>0</v>
      </c>
      <c r="F33" s="16" t="n">
        <f aca="false">B33-D33</f>
        <v>0</v>
      </c>
      <c r="G33" s="3"/>
      <c r="H33" s="4" t="s">
        <v>758</v>
      </c>
    </row>
    <row r="34" customFormat="false" ht="15" hidden="false" customHeight="true" outlineLevel="0" collapsed="false">
      <c r="A34" s="8" t="s">
        <v>759</v>
      </c>
      <c r="B34" s="16" t="n">
        <f aca="false">$B$25*(1-$B$7)</f>
        <v>23402.31025</v>
      </c>
      <c r="C34" s="16" t="n">
        <f aca="false">C33-D33</f>
        <v>40154.0279445623</v>
      </c>
      <c r="D34" s="20" t="n">
        <f aca="false">MIN(B34,C34)</f>
        <v>23402.31025</v>
      </c>
      <c r="E34" s="13" t="n">
        <f aca="false">IFERROR(D34/B34,0)</f>
        <v>1</v>
      </c>
      <c r="F34" s="16" t="n">
        <f aca="false">B34-D34</f>
        <v>0</v>
      </c>
      <c r="G34" s="3"/>
      <c r="H34" s="4" t="s">
        <v>760</v>
      </c>
    </row>
    <row r="35" customFormat="false" ht="15" hidden="false" customHeight="true" outlineLevel="0" collapsed="false">
      <c r="A35" s="8" t="s">
        <v>761</v>
      </c>
      <c r="B35" s="16" t="n">
        <f aca="false">($B$26-$B$25)*(1-$B$7)+$B$28</f>
        <v>223942.68975</v>
      </c>
      <c r="C35" s="16" t="n">
        <f aca="false">C34-D34</f>
        <v>16751.7176945623</v>
      </c>
      <c r="D35" s="20" t="n">
        <f aca="false">MIN(B35,C35)</f>
        <v>16751.7176945623</v>
      </c>
      <c r="E35" s="13" t="n">
        <f aca="false">IFERROR(D35/B35,0)</f>
        <v>0.0748035924426165</v>
      </c>
      <c r="F35" s="16" t="n">
        <f aca="false">B35-D35</f>
        <v>207190.972055438</v>
      </c>
      <c r="G35" s="3"/>
      <c r="H35" s="4" t="s">
        <v>762</v>
      </c>
    </row>
    <row r="36" customFormat="false" ht="15" hidden="false" customHeight="true" outlineLevel="0" collapsed="false">
      <c r="A36" s="8" t="s">
        <v>763</v>
      </c>
      <c r="B36" s="16" t="n">
        <f aca="false">0</f>
        <v>0</v>
      </c>
      <c r="C36" s="16" t="n">
        <f aca="false">C35-D35</f>
        <v>0</v>
      </c>
      <c r="D36" s="16" t="n">
        <f aca="false">C36</f>
        <v>0</v>
      </c>
      <c r="E36" s="13" t="n">
        <f aca="false">IFERROR(D36/B36,0)</f>
        <v>0</v>
      </c>
      <c r="F36" s="16" t="n">
        <f aca="false">B36-D36</f>
        <v>0</v>
      </c>
      <c r="G36" s="3"/>
      <c r="H36" s="4" t="s">
        <v>764</v>
      </c>
    </row>
    <row r="37" customFormat="false" ht="15" hidden="false" customHeight="true" outlineLevel="0" collapsed="false">
      <c r="A37" s="54" t="s">
        <v>765</v>
      </c>
      <c r="B37" s="56" t="n">
        <f aca="false">SUM(B30:B36)</f>
        <v>254206</v>
      </c>
      <c r="C37" s="55"/>
      <c r="D37" s="56" t="n">
        <f aca="false">SUM(D30:D36)</f>
        <v>47015.0279445623</v>
      </c>
      <c r="E37" s="69" t="n">
        <f aca="false">D37/B37</f>
        <v>0.18494853758197</v>
      </c>
      <c r="F37" s="56" t="n">
        <f aca="false">SUM(F30:F36)</f>
        <v>207190.972055438</v>
      </c>
      <c r="G37" s="55"/>
      <c r="H37" s="55"/>
    </row>
    <row r="38" customFormat="false" ht="15" hidden="false" customHeight="true" outlineLevel="0" collapsed="false">
      <c r="A38" s="3"/>
      <c r="B38" s="3"/>
      <c r="C38" s="3"/>
      <c r="D38" s="3"/>
      <c r="E38" s="3"/>
      <c r="F38" s="3"/>
      <c r="G38" s="3"/>
      <c r="H38" s="3"/>
    </row>
    <row r="39" customFormat="false" ht="15" hidden="false" customHeight="true" outlineLevel="0" collapsed="false">
      <c r="A39" s="5" t="s">
        <v>766</v>
      </c>
      <c r="B39" s="5"/>
      <c r="C39" s="5"/>
      <c r="D39" s="5"/>
      <c r="E39" s="5"/>
      <c r="F39" s="5"/>
      <c r="G39" s="5"/>
      <c r="H39" s="5"/>
    </row>
    <row r="40" customFormat="false" ht="15" hidden="false" customHeight="true" outlineLevel="0" collapsed="false">
      <c r="A40" s="21" t="s">
        <v>767</v>
      </c>
      <c r="B40" s="21" t="s">
        <v>739</v>
      </c>
      <c r="C40" s="21" t="s">
        <v>768</v>
      </c>
      <c r="D40" s="21" t="s">
        <v>769</v>
      </c>
      <c r="E40" s="21" t="s">
        <v>770</v>
      </c>
      <c r="F40" s="21" t="s">
        <v>771</v>
      </c>
      <c r="G40" s="21" t="s">
        <v>772</v>
      </c>
      <c r="H40" s="21" t="s">
        <v>773</v>
      </c>
    </row>
    <row r="41" customFormat="false" ht="15" hidden="false" customHeight="true" outlineLevel="0" collapsed="false">
      <c r="A41" s="8" t="s">
        <v>774</v>
      </c>
      <c r="B41" s="16" t="n">
        <f aca="false">$B$27</f>
        <v>3511</v>
      </c>
      <c r="C41" s="16" t="n">
        <f aca="false">B41*E31</f>
        <v>3511</v>
      </c>
      <c r="D41" s="13" t="n">
        <f aca="false">IFERROR(C41/B41,0)</f>
        <v>1</v>
      </c>
      <c r="E41" s="42" t="n">
        <f aca="false">1</f>
        <v>1</v>
      </c>
      <c r="F41" s="42" t="n">
        <f aca="false">1-('0_Control_Panel'!$B$28*'0_Control_Panel'!$C$75+'0_Control_Panel'!$B$29*'0_Control_Panel'!$C$76)/('0_Control_Panel'!$B$28+'0_Control_Panel'!$B$29)</f>
        <v>0.740985474223868</v>
      </c>
      <c r="G41" s="19" t="n">
        <f aca="false">(E41-D41)*100</f>
        <v>0</v>
      </c>
      <c r="H41" s="4" t="str">
        <f aca="false">IF($B$6=1,"Conditional: banks are NOT impaired only IF spectrum is in the estate (B6 = 1, recovered at "&amp;TEXT($F$12,"0%")&amp;" of book) — s.53 then ranks them 2nd and liquidation covers them. If spectrum is excluded and the ₹15,000 cr SBI facility is counted, secured lenders recover about "&amp;TEXT('6_Reconciliations'!$C$94,"0%")&amp;" (6_Reconciliations R6 snapshot).","Spectrum EXCLUDED (B6 = 0): secured lenders recover "&amp;TEXT($D$41,"0%")&amp;" live — banks ARE impaired in this case; see R6 for the SBI-facility variants.")</f>
        <v>Conditional: banks are NOT impaired only IF spectrum is in the estate (B6 = 1, recovered at 35% of book) — s.53 then ranks them 2nd and liquidation covers them. If spectrum is excluded and the ₹15,000 cr SBI facility is counted, secured lenders recover about 60% (6_Reconciliations R6 snapshot).</v>
      </c>
    </row>
    <row r="42" customFormat="false" ht="15" hidden="false" customHeight="true" outlineLevel="0" collapsed="false">
      <c r="A42" s="8" t="s">
        <v>775</v>
      </c>
      <c r="B42" s="16" t="n">
        <f aca="false">$B$26</f>
        <v>194345</v>
      </c>
      <c r="C42" s="16" t="n">
        <f aca="false">IF($B$7=1,$B$26*E31,D34+(B42-$B$25)*E35)</f>
        <v>36189.4375451036</v>
      </c>
      <c r="D42" s="13" t="n">
        <f aca="false">IFERROR(C42/B42,0)</f>
        <v>0.18621234168671</v>
      </c>
      <c r="E42" s="42" t="n">
        <f aca="false">'3_Restructuring_Projections'!$C$129</f>
        <v>0.512415535943664</v>
      </c>
      <c r="F42" s="42" t="n">
        <f aca="false">'3_Restructuring_Projections'!$C$129</f>
        <v>0.512415535943664</v>
      </c>
      <c r="G42" s="19" t="n">
        <f aca="false">(E42-D42)*100</f>
        <v>32.6203194256954</v>
      </c>
      <c r="H42" s="4" t="s">
        <v>776</v>
      </c>
    </row>
    <row r="43" customFormat="false" ht="15" hidden="false" customHeight="true" outlineLevel="0" collapsed="false">
      <c r="A43" s="8" t="s">
        <v>777</v>
      </c>
      <c r="B43" s="16" t="n">
        <f aca="false">'0_Control_Panel'!$B$52+'0_Control_Panel'!$B$53</f>
        <v>22300</v>
      </c>
      <c r="C43" s="16" t="n">
        <f aca="false">B43*E35</f>
        <v>1668.12011147035</v>
      </c>
      <c r="D43" s="13" t="n">
        <f aca="false">IFERROR(C43/B43,0)</f>
        <v>0.0748035924426165</v>
      </c>
      <c r="E43" s="42" t="n">
        <f aca="false">1</f>
        <v>1</v>
      </c>
      <c r="F43" s="42" t="n">
        <f aca="false">1</f>
        <v>1</v>
      </c>
      <c r="G43" s="19" t="n">
        <f aca="false">(E43-D43)*100</f>
        <v>92.5196407557384</v>
      </c>
      <c r="H43" s="4" t="s">
        <v>778</v>
      </c>
    </row>
    <row r="44" customFormat="false" ht="15" hidden="false" customHeight="true" outlineLevel="0" collapsed="false">
      <c r="A44" s="8" t="s">
        <v>779</v>
      </c>
      <c r="B44" s="16" t="n">
        <f aca="false">'0_Control_Panel'!$B$54</f>
        <v>5500</v>
      </c>
      <c r="C44" s="16" t="n">
        <f aca="false">B44*E35</f>
        <v>411.419758434391</v>
      </c>
      <c r="D44" s="13" t="n">
        <f aca="false">IFERROR(C44/B44,0)</f>
        <v>0.0748035924426165</v>
      </c>
      <c r="E44" s="42" t="n">
        <f aca="false">1</f>
        <v>1</v>
      </c>
      <c r="F44" s="42" t="n">
        <f aca="false">1-'0_Control_Panel'!$C$77</f>
        <v>0.85</v>
      </c>
      <c r="G44" s="19" t="n">
        <f aca="false">(E44-D44)*100</f>
        <v>92.5196407557384</v>
      </c>
      <c r="H44" s="4"/>
    </row>
    <row r="45" customFormat="false" ht="15" hidden="false" customHeight="true" outlineLevel="0" collapsed="false">
      <c r="A45" s="8" t="s">
        <v>780</v>
      </c>
      <c r="B45" s="16" t="n">
        <f aca="false">'0_Control_Panel'!$B$55+'0_Control_Panel'!$B$57</f>
        <v>25200</v>
      </c>
      <c r="C45" s="16" t="n">
        <f aca="false">B45*E35</f>
        <v>1885.05052955394</v>
      </c>
      <c r="D45" s="13" t="n">
        <f aca="false">IFERROR(C45/B45,0)</f>
        <v>0.0748035924426165</v>
      </c>
      <c r="E45" s="42" t="n">
        <f aca="false">1</f>
        <v>1</v>
      </c>
      <c r="F45" s="42" t="n">
        <f aca="false">1-'0_Control_Panel'!$C$77*'0_Control_Panel'!$B$55/('0_Control_Panel'!$B$55+'0_Control_Panel'!$B$57)</f>
        <v>0.980952380952381</v>
      </c>
      <c r="G45" s="19" t="n">
        <f aca="false">(E45-D45)*100</f>
        <v>92.5196407557384</v>
      </c>
      <c r="H45" s="4"/>
    </row>
    <row r="46" customFormat="false" ht="15" hidden="false" customHeight="true" outlineLevel="0" collapsed="false">
      <c r="A46" s="3"/>
      <c r="B46" s="3"/>
      <c r="C46" s="3"/>
      <c r="D46" s="3"/>
      <c r="E46" s="3"/>
      <c r="F46" s="3"/>
      <c r="G46" s="3"/>
      <c r="H46" s="3"/>
    </row>
    <row r="47" customFormat="false" ht="15" hidden="false" customHeight="true" outlineLevel="0" collapsed="false">
      <c r="A47" s="5" t="s">
        <v>781</v>
      </c>
      <c r="B47" s="5"/>
      <c r="C47" s="5"/>
      <c r="D47" s="5"/>
      <c r="E47" s="5"/>
      <c r="F47" s="5"/>
      <c r="G47" s="5"/>
      <c r="H47" s="5"/>
    </row>
    <row r="48" customFormat="false" ht="15" hidden="false" customHeight="true" outlineLevel="0" collapsed="false">
      <c r="A48" s="21" t="s">
        <v>782</v>
      </c>
      <c r="B48" s="21" t="s">
        <v>742</v>
      </c>
      <c r="C48" s="21" t="s">
        <v>783</v>
      </c>
      <c r="D48" s="21" t="s">
        <v>769</v>
      </c>
      <c r="E48" s="21" t="s">
        <v>784</v>
      </c>
      <c r="F48" s="21"/>
      <c r="G48" s="21"/>
      <c r="H48" s="21" t="s">
        <v>785</v>
      </c>
    </row>
    <row r="49" customFormat="false" ht="15" hidden="false" customHeight="true" outlineLevel="0" collapsed="false">
      <c r="A49" s="12" t="n">
        <v>0.35</v>
      </c>
      <c r="B49" s="42" t="n">
        <f aca="false">1-A49</f>
        <v>0.65</v>
      </c>
      <c r="C49" s="16" t="n">
        <f aca="false">('0_Control_Panel'!$B$28+'0_Control_Panel'!$B$29)*B49</f>
        <v>2282.15</v>
      </c>
      <c r="D49" s="42" t="n">
        <f aca="false">E31</f>
        <v>1</v>
      </c>
      <c r="E49" s="9" t="str">
        <f aca="false">IF(B49&gt;=D49,"YES","NO — dissenting FCs entitled to liquidation value")</f>
        <v>NO — dissenting FCs entitled to liquidation value</v>
      </c>
      <c r="F49" s="3"/>
      <c r="G49" s="3"/>
      <c r="H49" s="4" t="s">
        <v>786</v>
      </c>
    </row>
    <row r="50" customFormat="false" ht="15" hidden="false" customHeight="true" outlineLevel="0" collapsed="false">
      <c r="A50" s="12" t="n">
        <v>0.4</v>
      </c>
      <c r="B50" s="42" t="n">
        <f aca="false">1-A50</f>
        <v>0.6</v>
      </c>
      <c r="C50" s="16" t="n">
        <f aca="false">('0_Control_Panel'!$B$28+'0_Control_Panel'!$B$29)*B50</f>
        <v>2106.6</v>
      </c>
      <c r="D50" s="42" t="n">
        <f aca="false">E31</f>
        <v>1</v>
      </c>
      <c r="E50" s="9" t="str">
        <f aca="false">IF(B50&gt;=D50,"YES","NO — dissenting FCs entitled to liquidation value")</f>
        <v>NO — dissenting FCs entitled to liquidation value</v>
      </c>
      <c r="F50" s="3"/>
      <c r="G50" s="3"/>
      <c r="H50" s="3"/>
    </row>
    <row r="51" customFormat="false" ht="15" hidden="false" customHeight="true" outlineLevel="0" collapsed="false">
      <c r="A51" s="12" t="n">
        <v>0.45</v>
      </c>
      <c r="B51" s="42" t="n">
        <f aca="false">1-A51</f>
        <v>0.55</v>
      </c>
      <c r="C51" s="16" t="n">
        <f aca="false">('0_Control_Panel'!$B$28+'0_Control_Panel'!$B$29)*B51</f>
        <v>1931.05</v>
      </c>
      <c r="D51" s="42" t="n">
        <f aca="false">E31</f>
        <v>1</v>
      </c>
      <c r="E51" s="9" t="str">
        <f aca="false">IF(B51&gt;=D51,"YES","NO — dissenting FCs entitled to liquidation value")</f>
        <v>NO — dissenting FCs entitled to liquidation value</v>
      </c>
      <c r="F51" s="3"/>
      <c r="G51" s="3"/>
      <c r="H51" s="3"/>
    </row>
    <row r="52" customFormat="false" ht="15" hidden="false" customHeight="true" outlineLevel="0" collapsed="false">
      <c r="A52" s="12" t="n">
        <v>0.5</v>
      </c>
      <c r="B52" s="42" t="n">
        <f aca="false">1-A52</f>
        <v>0.5</v>
      </c>
      <c r="C52" s="16" t="n">
        <f aca="false">('0_Control_Panel'!$B$28+'0_Control_Panel'!$B$29)*B52</f>
        <v>1755.5</v>
      </c>
      <c r="D52" s="42" t="n">
        <f aca="false">E31</f>
        <v>1</v>
      </c>
      <c r="E52" s="9" t="str">
        <f aca="false">IF(B52&gt;=D52,"YES","NO — dissenting FCs entitled to liquidation value")</f>
        <v>NO — dissenting FCs entitled to liquidation value</v>
      </c>
      <c r="F52" s="3"/>
      <c r="G52" s="3"/>
      <c r="H52" s="3"/>
    </row>
    <row r="53" customFormat="false" ht="15" hidden="false" customHeight="true" outlineLevel="0" collapsed="false">
      <c r="A53" s="4" t="s">
        <v>787</v>
      </c>
    </row>
    <row r="55" customFormat="false" ht="15" hidden="false" customHeight="false" outlineLevel="0" collapsed="false">
      <c r="A55" s="33" t="s">
        <v>788</v>
      </c>
      <c r="B55" s="33"/>
      <c r="C55" s="33"/>
      <c r="D55" s="33"/>
      <c r="E55" s="33"/>
      <c r="F55" s="33"/>
      <c r="G55" s="33"/>
      <c r="H55" s="33"/>
    </row>
    <row r="56" customFormat="false" ht="37.5" hidden="false" customHeight="true" outlineLevel="0" collapsed="false">
      <c r="A56" s="34" t="s">
        <v>515</v>
      </c>
      <c r="B56" s="34" t="s">
        <v>789</v>
      </c>
      <c r="C56" s="34" t="s">
        <v>790</v>
      </c>
      <c r="D56" s="34" t="s">
        <v>791</v>
      </c>
    </row>
    <row r="57" customFormat="false" ht="15" hidden="false" customHeight="false" outlineLevel="0" collapsed="false">
      <c r="A57" s="28" t="s">
        <v>792</v>
      </c>
      <c r="B57" s="36" t="n">
        <f aca="false">'0_Control_Panel'!$B$28+'0_Control_Panel'!$B$29</f>
        <v>3511</v>
      </c>
      <c r="C57" s="36" t="n">
        <f aca="false">'0_Control_Panel'!$B$28+'0_Control_Panel'!$B$29+'0_Control_Panel'!$B$58*'0_Control_Panel'!$B$83</f>
        <v>18511</v>
      </c>
      <c r="D57" s="36" t="n">
        <f aca="false">'0_Control_Panel'!$B$28+'0_Control_Panel'!$B$29+'0_Control_Panel'!$B$58*'0_Control_Panel'!$B$83</f>
        <v>18511</v>
      </c>
    </row>
    <row r="58" customFormat="false" ht="15" hidden="false" customHeight="false" outlineLevel="0" collapsed="false">
      <c r="A58" s="28" t="s">
        <v>793</v>
      </c>
      <c r="B58" s="36" t="n">
        <f aca="false">$G$18</f>
        <v>47015.0279445623</v>
      </c>
      <c r="C58" s="36" t="n">
        <f aca="false">$G$18</f>
        <v>47015.0279445623</v>
      </c>
      <c r="D58" s="36" t="n">
        <f aca="false">$G$18+'0_Control_Panel'!$B$58*'0_Control_Panel'!$B$83</f>
        <v>62015.0279445623</v>
      </c>
    </row>
    <row r="59" customFormat="false" ht="15" hidden="false" customHeight="false" outlineLevel="0" collapsed="false">
      <c r="A59" s="28" t="s">
        <v>794</v>
      </c>
      <c r="B59" s="36" t="n">
        <f aca="false">MIN($B$30,B58)</f>
        <v>2500</v>
      </c>
      <c r="C59" s="36" t="n">
        <f aca="false">MIN($B$30,C58)</f>
        <v>2500</v>
      </c>
      <c r="D59" s="36" t="n">
        <f aca="false">MIN($B$30,D58)</f>
        <v>2500</v>
      </c>
    </row>
    <row r="60" customFormat="false" ht="15" hidden="false" customHeight="false" outlineLevel="0" collapsed="false">
      <c r="A60" s="28" t="s">
        <v>795</v>
      </c>
      <c r="B60" s="36" t="n">
        <f aca="false">B58-B59</f>
        <v>44515.0279445623</v>
      </c>
      <c r="C60" s="36" t="n">
        <f aca="false">C58-C59</f>
        <v>44515.0279445623</v>
      </c>
      <c r="D60" s="36" t="n">
        <f aca="false">D58-D59</f>
        <v>59515.0279445623</v>
      </c>
    </row>
    <row r="61" customFormat="false" ht="15" hidden="false" customHeight="false" outlineLevel="0" collapsed="false">
      <c r="A61" s="28" t="s">
        <v>796</v>
      </c>
      <c r="B61" s="36" t="n">
        <f aca="false">$B$23+B57+$B$7*$B$26</f>
        <v>3661</v>
      </c>
      <c r="C61" s="36" t="n">
        <f aca="false">$B$23+C57+$B$7*$B$26</f>
        <v>18661</v>
      </c>
      <c r="D61" s="36" t="n">
        <f aca="false">$B$23+D57+$B$7*$B$26</f>
        <v>18661</v>
      </c>
    </row>
    <row r="62" customFormat="false" ht="15" hidden="false" customHeight="false" outlineLevel="0" collapsed="false">
      <c r="A62" s="28" t="s">
        <v>797</v>
      </c>
      <c r="B62" s="36" t="n">
        <f aca="false">MIN(B61,B60)</f>
        <v>3661</v>
      </c>
      <c r="C62" s="36" t="n">
        <f aca="false">MIN(C61,C60)</f>
        <v>18661</v>
      </c>
      <c r="D62" s="36" t="n">
        <f aca="false">MIN(D61,D60)</f>
        <v>18661</v>
      </c>
    </row>
    <row r="63" customFormat="false" ht="15" hidden="false" customHeight="false" outlineLevel="0" collapsed="false">
      <c r="A63" s="28" t="s">
        <v>798</v>
      </c>
      <c r="B63" s="38" t="n">
        <f aca="false">IFERROR(B62/B61,0)</f>
        <v>1</v>
      </c>
      <c r="C63" s="38" t="n">
        <f aca="false">IFERROR(C62/C61,0)</f>
        <v>1</v>
      </c>
      <c r="D63" s="38" t="n">
        <f aca="false">IFERROR(D62/D61,0)</f>
        <v>1</v>
      </c>
    </row>
    <row r="64" customFormat="false" ht="15" hidden="false" customHeight="false" outlineLevel="0" collapsed="false">
      <c r="A64" s="28" t="s">
        <v>799</v>
      </c>
      <c r="B64" s="36" t="n">
        <f aca="false">B60-B62</f>
        <v>40854.0279445623</v>
      </c>
      <c r="C64" s="36" t="n">
        <f aca="false">C60-C62</f>
        <v>25854.0279445623</v>
      </c>
      <c r="D64" s="36" t="n">
        <f aca="false">D60-D62</f>
        <v>40854.0279445623</v>
      </c>
    </row>
    <row r="65" customFormat="false" ht="15" hidden="false" customHeight="false" outlineLevel="0" collapsed="false">
      <c r="A65" s="28" t="s">
        <v>800</v>
      </c>
      <c r="B65" s="36" t="n">
        <f aca="false">MIN($B$24,B64)</f>
        <v>700</v>
      </c>
      <c r="C65" s="36" t="n">
        <f aca="false">MIN($B$24,C64)</f>
        <v>700</v>
      </c>
      <c r="D65" s="36" t="n">
        <f aca="false">MIN($B$24,D64)</f>
        <v>700</v>
      </c>
    </row>
    <row r="66" customFormat="false" ht="15" hidden="false" customHeight="false" outlineLevel="0" collapsed="false">
      <c r="A66" s="28" t="s">
        <v>801</v>
      </c>
      <c r="B66" s="36" t="n">
        <f aca="false">B64-B65-MIN($B$33,B64-B65)</f>
        <v>40154.0279445623</v>
      </c>
      <c r="C66" s="36" t="n">
        <f aca="false">C64-C65-MIN($B$33,C64-C65)</f>
        <v>25154.0279445623</v>
      </c>
      <c r="D66" s="36" t="n">
        <f aca="false">D64-D65-MIN($B$33,D64-D65)</f>
        <v>40154.0279445623</v>
      </c>
    </row>
    <row r="67" customFormat="false" ht="15" hidden="false" customHeight="false" outlineLevel="0" collapsed="false">
      <c r="A67" s="28" t="s">
        <v>802</v>
      </c>
      <c r="B67" s="36" t="n">
        <f aca="false">MIN($B$25*(1-$B$7),B66)</f>
        <v>23402.31025</v>
      </c>
      <c r="C67" s="36" t="n">
        <f aca="false">MIN($B$25*(1-$B$7),C66)</f>
        <v>23402.31025</v>
      </c>
      <c r="D67" s="36" t="n">
        <f aca="false">MIN($B$25*(1-$B$7),D66)</f>
        <v>23402.31025</v>
      </c>
    </row>
    <row r="68" customFormat="false" ht="15" hidden="false" customHeight="false" outlineLevel="0" collapsed="false">
      <c r="A68" s="28" t="s">
        <v>803</v>
      </c>
      <c r="B68" s="36" t="n">
        <f aca="false">B66-B67</f>
        <v>16751.7176945623</v>
      </c>
      <c r="C68" s="36" t="n">
        <f aca="false">C66-C67</f>
        <v>1751.71769456231</v>
      </c>
      <c r="D68" s="36" t="n">
        <f aca="false">D66-D67</f>
        <v>16751.7176945623</v>
      </c>
    </row>
    <row r="69" customFormat="false" ht="15" hidden="false" customHeight="false" outlineLevel="0" collapsed="false">
      <c r="A69" s="28" t="s">
        <v>804</v>
      </c>
      <c r="B69" s="36" t="n">
        <f aca="false">($B$26-$B$25)*(1-$B$7)+$B$28</f>
        <v>223942.68975</v>
      </c>
      <c r="C69" s="36" t="n">
        <f aca="false">($B$26-$B$25)*(1-$B$7)+$B$28</f>
        <v>223942.68975</v>
      </c>
      <c r="D69" s="36" t="n">
        <f aca="false">($B$26-$B$25)*(1-$B$7)+$B$28</f>
        <v>223942.68975</v>
      </c>
    </row>
    <row r="70" customFormat="false" ht="15" hidden="false" customHeight="false" outlineLevel="0" collapsed="false">
      <c r="A70" s="28" t="s">
        <v>805</v>
      </c>
      <c r="B70" s="36" t="n">
        <f aca="false">MIN(B69,B68)</f>
        <v>16751.7176945623</v>
      </c>
      <c r="C70" s="36" t="n">
        <f aca="false">MIN(C69,C68)</f>
        <v>1751.71769456231</v>
      </c>
      <c r="D70" s="36" t="n">
        <f aca="false">MIN(D69,D68)</f>
        <v>16751.7176945623</v>
      </c>
    </row>
    <row r="71" customFormat="false" ht="15" hidden="false" customHeight="false" outlineLevel="0" collapsed="false">
      <c r="A71" s="28" t="s">
        <v>806</v>
      </c>
      <c r="B71" s="38" t="n">
        <f aca="false">IFERROR(B70/B69,0)</f>
        <v>0.0748035924426165</v>
      </c>
      <c r="C71" s="38" t="n">
        <f aca="false">IFERROR(C70/C69,0)</f>
        <v>0.00782216957614403</v>
      </c>
      <c r="D71" s="38" t="n">
        <f aca="false">IFERROR(D70/D69,0)</f>
        <v>0.0748035924426165</v>
      </c>
    </row>
    <row r="72" customFormat="false" ht="15" hidden="false" customHeight="false" outlineLevel="0" collapsed="false">
      <c r="A72" s="49" t="s">
        <v>807</v>
      </c>
      <c r="B72" s="29" t="n">
        <f aca="false">IF($B$7=1,$B$26*B63,B67+($B$26-$B$25)*B71)</f>
        <v>36189.4375451036</v>
      </c>
      <c r="C72" s="29" t="n">
        <f aca="false">IF($B$7=1,$B$26*C63,C67+($B$26-$B$25)*C71)</f>
        <v>24739.4529570267</v>
      </c>
      <c r="D72" s="29" t="n">
        <f aca="false">IF($B$7=1,$B$26*D63,D67+($B$26-$B$25)*D71)</f>
        <v>36189.4375451036</v>
      </c>
    </row>
    <row r="73" customFormat="false" ht="15" hidden="false" customHeight="false" outlineLevel="0" collapsed="false">
      <c r="A73" s="49" t="s">
        <v>808</v>
      </c>
      <c r="B73" s="31" t="n">
        <f aca="false">B72/$B$26</f>
        <v>0.18621234168671</v>
      </c>
      <c r="C73" s="31" t="n">
        <f aca="false">C72/$B$26</f>
        <v>0.127296575456156</v>
      </c>
      <c r="D73" s="31" t="n">
        <f aca="false">D72/$B$26</f>
        <v>0.18621234168671</v>
      </c>
    </row>
    <row r="74" customFormat="false" ht="15" hidden="false" customHeight="false" outlineLevel="0" collapsed="false">
      <c r="A74" s="28" t="s">
        <v>809</v>
      </c>
      <c r="B74" s="70" t="n">
        <f aca="false">ROUND(IF($B$8=1,C73,B73)-$D$42,6)</f>
        <v>0</v>
      </c>
    </row>
    <row r="75" customFormat="false" ht="15" hidden="false" customHeight="false" outlineLevel="0" collapsed="false">
      <c r="A75" s="26" t="s">
        <v>810</v>
      </c>
    </row>
  </sheetData>
  <conditionalFormatting sqref="F30:F38">
    <cfRule type="cellIs" priority="2" operator="lessThan" aboveAverage="0" equalAverage="0" bottom="0" percent="0" rank="0" text="" dxfId="0">
      <formula>0</formula>
    </cfRule>
  </conditionalFormatting>
  <conditionalFormatting sqref="E30:E37">
    <cfRule type="cellIs" priority="3" operator="lessThan" aboveAverage="0" equalAverage="0" bottom="0" percent="0" rank="0" text="" dxfId="4">
      <formula>0.5</formula>
    </cfRule>
  </conditionalFormatting>
  <conditionalFormatting sqref="D41:D45">
    <cfRule type="cellIs" priority="4" operator="lessThan" aboveAverage="0" equalAverage="0" bottom="0" percent="0" rank="0" text="" dxfId="0">
      <formula>0.25</formula>
    </cfRule>
  </conditionalFormatting>
  <conditionalFormatting sqref="E49">
    <cfRule type="expression" priority="5" aboveAverage="0" equalAverage="0" bottom="0" percent="0" rank="0" text="" dxfId="0">
      <formula>LEFT(E49,2)="NO"</formula>
    </cfRule>
  </conditionalFormatting>
  <conditionalFormatting sqref="E50">
    <cfRule type="expression" priority="6" aboveAverage="0" equalAverage="0" bottom="0" percent="0" rank="0" text="" dxfId="0">
      <formula>LEFT(E50,2)="NO"</formula>
    </cfRule>
  </conditionalFormatting>
  <conditionalFormatting sqref="E51">
    <cfRule type="expression" priority="7" aboveAverage="0" equalAverage="0" bottom="0" percent="0" rank="0" text="" dxfId="0">
      <formula>LEFT(E51,2)="NO"</formula>
    </cfRule>
  </conditionalFormatting>
  <conditionalFormatting sqref="E52">
    <cfRule type="expression" priority="8" aboveAverage="0" equalAverage="0" bottom="0" percent="0" rank="0" text="" dxfId="0">
      <formula>LEFT(E52,2)="NO"</formula>
    </cfRule>
  </conditionalFormatting>
  <conditionalFormatting sqref="B74">
    <cfRule type="expression" priority="9" aboveAverage="0" equalAverage="0" bottom="0" percent="0" rank="0" text="" dxfId="1">
      <formula>B74&lt;&gt;0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4F"/>
    <pageSetUpPr fitToPage="fals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90"/>
  </cols>
  <sheetData>
    <row r="1" customFormat="false" ht="15.75" hidden="false" customHeight="true" outlineLevel="0" collapsed="false">
      <c r="A1" s="2" t="s">
        <v>811</v>
      </c>
      <c r="B1" s="3"/>
      <c r="C1" s="3"/>
    </row>
    <row r="2" customFormat="false" ht="15" hidden="false" customHeight="true" outlineLevel="0" collapsed="false">
      <c r="A2" s="4" t="s">
        <v>812</v>
      </c>
      <c r="B2" s="3"/>
      <c r="C2" s="3"/>
    </row>
    <row r="3" customFormat="false" ht="15" hidden="false" customHeight="true" outlineLevel="0" collapsed="false">
      <c r="A3" s="3"/>
      <c r="B3" s="3"/>
      <c r="C3" s="3"/>
    </row>
    <row r="4" customFormat="false" ht="15" hidden="false" customHeight="true" outlineLevel="0" collapsed="false">
      <c r="A4" s="5" t="s">
        <v>813</v>
      </c>
      <c r="B4" s="5" t="s">
        <v>814</v>
      </c>
      <c r="C4" s="5" t="s">
        <v>815</v>
      </c>
    </row>
    <row r="5" customFormat="false" ht="15" hidden="false" customHeight="true" outlineLevel="0" collapsed="false">
      <c r="A5" s="8" t="s">
        <v>816</v>
      </c>
      <c r="B5" s="8" t="s">
        <v>817</v>
      </c>
      <c r="C5" s="71" t="s">
        <v>818</v>
      </c>
    </row>
    <row r="6" customFormat="false" ht="15" hidden="false" customHeight="true" outlineLevel="0" collapsed="false">
      <c r="A6" s="8" t="s">
        <v>816</v>
      </c>
      <c r="B6" s="8" t="s">
        <v>819</v>
      </c>
      <c r="C6" s="71" t="s">
        <v>820</v>
      </c>
    </row>
    <row r="7" customFormat="false" ht="15" hidden="false" customHeight="true" outlineLevel="0" collapsed="false">
      <c r="A7" s="8" t="s">
        <v>816</v>
      </c>
      <c r="B7" s="8" t="s">
        <v>821</v>
      </c>
      <c r="C7" s="71" t="s">
        <v>822</v>
      </c>
    </row>
    <row r="8" customFormat="false" ht="15" hidden="false" customHeight="true" outlineLevel="0" collapsed="false">
      <c r="A8" s="8" t="s">
        <v>352</v>
      </c>
      <c r="B8" s="8" t="s">
        <v>823</v>
      </c>
      <c r="C8" s="71" t="s">
        <v>824</v>
      </c>
    </row>
    <row r="9" customFormat="false" ht="15" hidden="false" customHeight="true" outlineLevel="0" collapsed="false">
      <c r="A9" s="8" t="s">
        <v>352</v>
      </c>
      <c r="B9" s="8" t="s">
        <v>825</v>
      </c>
      <c r="C9" s="71" t="s">
        <v>826</v>
      </c>
    </row>
    <row r="10" customFormat="false" ht="15" hidden="false" customHeight="true" outlineLevel="0" collapsed="false">
      <c r="A10" s="8" t="s">
        <v>352</v>
      </c>
      <c r="B10" s="8" t="s">
        <v>827</v>
      </c>
      <c r="C10" s="71" t="s">
        <v>828</v>
      </c>
    </row>
    <row r="11" customFormat="false" ht="15" hidden="false" customHeight="true" outlineLevel="0" collapsed="false">
      <c r="A11" s="8" t="s">
        <v>352</v>
      </c>
      <c r="B11" s="8" t="s">
        <v>829</v>
      </c>
      <c r="C11" s="71" t="s">
        <v>830</v>
      </c>
    </row>
    <row r="12" customFormat="false" ht="15" hidden="false" customHeight="true" outlineLevel="0" collapsed="false">
      <c r="A12" s="8" t="s">
        <v>831</v>
      </c>
      <c r="B12" s="8" t="s">
        <v>832</v>
      </c>
      <c r="C12" s="71" t="s">
        <v>833</v>
      </c>
    </row>
    <row r="13" customFormat="false" ht="15" hidden="false" customHeight="true" outlineLevel="0" collapsed="false">
      <c r="A13" s="8" t="s">
        <v>831</v>
      </c>
      <c r="B13" s="8" t="s">
        <v>834</v>
      </c>
      <c r="C13" s="71" t="s">
        <v>835</v>
      </c>
    </row>
    <row r="14" customFormat="false" ht="15" hidden="false" customHeight="true" outlineLevel="0" collapsed="false">
      <c r="A14" s="8" t="s">
        <v>831</v>
      </c>
      <c r="B14" s="8" t="s">
        <v>836</v>
      </c>
      <c r="C14" s="71" t="s">
        <v>837</v>
      </c>
    </row>
    <row r="15" customFormat="false" ht="15" hidden="false" customHeight="true" outlineLevel="0" collapsed="false">
      <c r="A15" s="8" t="s">
        <v>831</v>
      </c>
      <c r="B15" s="8" t="s">
        <v>838</v>
      </c>
      <c r="C15" s="71" t="s">
        <v>839</v>
      </c>
    </row>
    <row r="16" customFormat="false" ht="15" hidden="false" customHeight="true" outlineLevel="0" collapsed="false">
      <c r="A16" s="8" t="s">
        <v>840</v>
      </c>
      <c r="B16" s="8" t="s">
        <v>841</v>
      </c>
      <c r="C16" s="71" t="s">
        <v>842</v>
      </c>
    </row>
    <row r="17" customFormat="false" ht="15" hidden="false" customHeight="true" outlineLevel="0" collapsed="false">
      <c r="A17" s="8" t="s">
        <v>840</v>
      </c>
      <c r="B17" s="8" t="s">
        <v>843</v>
      </c>
      <c r="C17" s="71" t="s">
        <v>844</v>
      </c>
    </row>
    <row r="18" customFormat="false" ht="15" hidden="false" customHeight="true" outlineLevel="0" collapsed="false">
      <c r="A18" s="8" t="s">
        <v>840</v>
      </c>
      <c r="B18" s="8" t="s">
        <v>845</v>
      </c>
      <c r="C18" s="71" t="s">
        <v>846</v>
      </c>
    </row>
    <row r="19" customFormat="false" ht="15" hidden="false" customHeight="true" outlineLevel="0" collapsed="false">
      <c r="A19" s="8" t="s">
        <v>840</v>
      </c>
      <c r="B19" s="8" t="s">
        <v>847</v>
      </c>
      <c r="C19" s="71" t="s">
        <v>848</v>
      </c>
    </row>
    <row r="20" customFormat="false" ht="15" hidden="false" customHeight="true" outlineLevel="0" collapsed="false">
      <c r="A20" s="8" t="s">
        <v>840</v>
      </c>
      <c r="B20" s="8" t="s">
        <v>849</v>
      </c>
      <c r="C20" s="71" t="s">
        <v>850</v>
      </c>
    </row>
    <row r="21" customFormat="false" ht="15" hidden="false" customHeight="true" outlineLevel="0" collapsed="false">
      <c r="A21" s="8" t="s">
        <v>851</v>
      </c>
      <c r="B21" s="8" t="s">
        <v>852</v>
      </c>
      <c r="C21" s="71" t="s">
        <v>853</v>
      </c>
    </row>
    <row r="22" customFormat="false" ht="15" hidden="false" customHeight="true" outlineLevel="0" collapsed="false">
      <c r="A22" s="8" t="s">
        <v>851</v>
      </c>
      <c r="B22" s="8" t="s">
        <v>854</v>
      </c>
      <c r="C22" s="71" t="s">
        <v>855</v>
      </c>
    </row>
    <row r="23" customFormat="false" ht="15" hidden="false" customHeight="true" outlineLevel="0" collapsed="false">
      <c r="A23" s="8" t="s">
        <v>851</v>
      </c>
      <c r="B23" s="8" t="s">
        <v>856</v>
      </c>
      <c r="C23" s="71" t="s">
        <v>857</v>
      </c>
    </row>
    <row r="24" customFormat="false" ht="15" hidden="false" customHeight="true" outlineLevel="0" collapsed="false">
      <c r="A24" s="8" t="s">
        <v>816</v>
      </c>
      <c r="B24" s="8" t="s">
        <v>858</v>
      </c>
      <c r="C24" s="71" t="s">
        <v>859</v>
      </c>
    </row>
    <row r="25" customFormat="false" ht="15" hidden="false" customHeight="true" outlineLevel="0" collapsed="false">
      <c r="A25" s="8" t="s">
        <v>816</v>
      </c>
      <c r="B25" s="8" t="s">
        <v>860</v>
      </c>
      <c r="C25" s="71" t="s">
        <v>861</v>
      </c>
    </row>
    <row r="26" customFormat="false" ht="15" hidden="false" customHeight="true" outlineLevel="0" collapsed="false">
      <c r="A26" s="8" t="s">
        <v>840</v>
      </c>
      <c r="B26" s="8" t="s">
        <v>862</v>
      </c>
      <c r="C26" s="71" t="s">
        <v>863</v>
      </c>
    </row>
    <row r="27" customFormat="false" ht="15" hidden="false" customHeight="true" outlineLevel="0" collapsed="false">
      <c r="A27" s="8" t="s">
        <v>840</v>
      </c>
      <c r="B27" s="8" t="s">
        <v>864</v>
      </c>
      <c r="C27" s="71" t="s">
        <v>865</v>
      </c>
    </row>
    <row r="28" customFormat="false" ht="15" hidden="false" customHeight="true" outlineLevel="0" collapsed="false">
      <c r="A28" s="8" t="s">
        <v>840</v>
      </c>
      <c r="B28" s="8" t="s">
        <v>866</v>
      </c>
      <c r="C28" s="71" t="s">
        <v>867</v>
      </c>
    </row>
    <row r="29" customFormat="false" ht="15" hidden="false" customHeight="true" outlineLevel="0" collapsed="false">
      <c r="A29" s="8" t="s">
        <v>352</v>
      </c>
      <c r="B29" s="8" t="s">
        <v>868</v>
      </c>
      <c r="C29" s="71" t="s">
        <v>869</v>
      </c>
    </row>
    <row r="30" customFormat="false" ht="15" hidden="false" customHeight="true" outlineLevel="0" collapsed="false">
      <c r="A30" s="8" t="s">
        <v>352</v>
      </c>
      <c r="B30" s="8" t="s">
        <v>870</v>
      </c>
      <c r="C30" s="71" t="s">
        <v>871</v>
      </c>
    </row>
    <row r="31" customFormat="false" ht="21.75" hidden="false" customHeight="true" outlineLevel="0" collapsed="false">
      <c r="A31" s="8" t="s">
        <v>872</v>
      </c>
      <c r="B31" s="8" t="s">
        <v>873</v>
      </c>
      <c r="C31" s="71" t="s">
        <v>874</v>
      </c>
    </row>
    <row r="32" customFormat="false" ht="22.35" hidden="false" customHeight="false" outlineLevel="0" collapsed="false">
      <c r="A32" s="8" t="s">
        <v>352</v>
      </c>
      <c r="B32" s="8" t="s">
        <v>875</v>
      </c>
      <c r="C32" s="71" t="s">
        <v>876</v>
      </c>
    </row>
    <row r="33" customFormat="false" ht="22.35" hidden="false" customHeight="false" outlineLevel="0" collapsed="false">
      <c r="A33" s="8" t="s">
        <v>352</v>
      </c>
      <c r="B33" s="8" t="s">
        <v>877</v>
      </c>
      <c r="C33" s="71" t="s">
        <v>878</v>
      </c>
    </row>
    <row r="34" customFormat="false" ht="15" hidden="false" customHeight="false" outlineLevel="0" collapsed="false">
      <c r="A34" s="8" t="s">
        <v>352</v>
      </c>
      <c r="B34" s="8" t="s">
        <v>879</v>
      </c>
      <c r="C34" s="71" t="s">
        <v>880</v>
      </c>
    </row>
    <row r="35" customFormat="false" ht="22.35" hidden="false" customHeight="false" outlineLevel="0" collapsed="false">
      <c r="A35" s="8" t="s">
        <v>816</v>
      </c>
      <c r="B35" s="8" t="s">
        <v>881</v>
      </c>
      <c r="C35" s="71" t="s">
        <v>882</v>
      </c>
    </row>
    <row r="36" customFormat="false" ht="15" hidden="false" customHeight="false" outlineLevel="0" collapsed="false">
      <c r="A36" s="8" t="s">
        <v>816</v>
      </c>
      <c r="B36" s="8" t="s">
        <v>883</v>
      </c>
      <c r="C36" s="71" t="s">
        <v>884</v>
      </c>
    </row>
    <row r="37" customFormat="false" ht="22.35" hidden="false" customHeight="false" outlineLevel="0" collapsed="false">
      <c r="A37" s="8" t="s">
        <v>816</v>
      </c>
      <c r="B37" s="8" t="s">
        <v>885</v>
      </c>
      <c r="C37" s="71" t="s">
        <v>886</v>
      </c>
    </row>
    <row r="38" customFormat="false" ht="15" hidden="false" customHeight="false" outlineLevel="0" collapsed="false">
      <c r="A38" s="8" t="s">
        <v>831</v>
      </c>
      <c r="B38" s="8" t="s">
        <v>887</v>
      </c>
      <c r="C38" s="71" t="s">
        <v>888</v>
      </c>
    </row>
    <row r="39" customFormat="false" ht="15" hidden="false" customHeight="false" outlineLevel="0" collapsed="false">
      <c r="A39" s="8" t="s">
        <v>831</v>
      </c>
      <c r="B39" s="8" t="s">
        <v>889</v>
      </c>
      <c r="C39" s="71" t="s">
        <v>890</v>
      </c>
    </row>
    <row r="40" customFormat="false" ht="22.35" hidden="false" customHeight="false" outlineLevel="0" collapsed="false">
      <c r="A40" s="8" t="s">
        <v>831</v>
      </c>
      <c r="B40" s="8" t="s">
        <v>891</v>
      </c>
      <c r="C40" s="71" t="s">
        <v>892</v>
      </c>
    </row>
    <row r="41" customFormat="false" ht="15" hidden="false" customHeight="false" outlineLevel="0" collapsed="false">
      <c r="A41" s="8" t="s">
        <v>840</v>
      </c>
      <c r="B41" s="8" t="s">
        <v>893</v>
      </c>
      <c r="C41" s="71" t="s">
        <v>894</v>
      </c>
    </row>
    <row r="42" customFormat="false" ht="22.35" hidden="false" customHeight="false" outlineLevel="0" collapsed="false">
      <c r="A42" s="8" t="s">
        <v>851</v>
      </c>
      <c r="B42" s="8" t="s">
        <v>895</v>
      </c>
      <c r="C42" s="71" t="s">
        <v>896</v>
      </c>
    </row>
    <row r="43" customFormat="false" ht="22.35" hidden="false" customHeight="false" outlineLevel="0" collapsed="false">
      <c r="A43" s="8" t="s">
        <v>872</v>
      </c>
      <c r="B43" s="8" t="s">
        <v>897</v>
      </c>
      <c r="C43" s="71" t="s">
        <v>898</v>
      </c>
    </row>
    <row r="44" customFormat="false" ht="15" hidden="false" customHeight="false" outlineLevel="0" collapsed="false">
      <c r="A44" s="8" t="s">
        <v>872</v>
      </c>
      <c r="B44" s="8" t="s">
        <v>899</v>
      </c>
      <c r="C44" s="71" t="s">
        <v>900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9" min="2" style="1" width="15"/>
    <col collapsed="false" customWidth="true" hidden="false" outlineLevel="0" max="10" min="10" style="1" width="60"/>
  </cols>
  <sheetData>
    <row r="1" customFormat="false" ht="15" hidden="false" customHeight="true" outlineLevel="0" collapsed="false">
      <c r="A1" s="5" t="s">
        <v>901</v>
      </c>
      <c r="B1" s="5"/>
      <c r="C1" s="5"/>
      <c r="D1" s="5"/>
      <c r="E1" s="5"/>
      <c r="F1" s="5"/>
      <c r="G1" s="5"/>
      <c r="H1" s="5"/>
      <c r="I1" s="5"/>
      <c r="J1" s="5"/>
    </row>
    <row r="2" customFormat="false" ht="15" hidden="false" customHeight="false" outlineLevel="0" collapsed="false">
      <c r="A2" s="49" t="s">
        <v>902</v>
      </c>
      <c r="B2" s="72" t="n">
        <v>46301</v>
      </c>
    </row>
    <row r="3" customFormat="false" ht="15" hidden="false" customHeight="true" outlineLevel="0" collapsed="false">
      <c r="A3" s="5" t="s">
        <v>903</v>
      </c>
      <c r="B3" s="5"/>
      <c r="C3" s="5"/>
      <c r="D3" s="5"/>
      <c r="E3" s="5"/>
      <c r="F3" s="5"/>
      <c r="G3" s="5"/>
      <c r="H3" s="5"/>
      <c r="I3" s="5"/>
      <c r="J3" s="5"/>
    </row>
    <row r="4" customFormat="false" ht="15" hidden="false" customHeight="true" outlineLevel="0" collapsed="false">
      <c r="A4" s="8" t="s">
        <v>904</v>
      </c>
      <c r="B4" s="16" t="n">
        <f aca="false">'0_Control_Panel'!B65</f>
        <v>250856</v>
      </c>
      <c r="J4" s="17" t="s">
        <v>905</v>
      </c>
    </row>
    <row r="5" customFormat="false" ht="15" hidden="false" customHeight="true" outlineLevel="0" collapsed="false">
      <c r="A5" s="8" t="s">
        <v>906</v>
      </c>
      <c r="B5" s="16" t="n">
        <f aca="false">'4_Liquidation_Waterfall'!B27-'0_Control_Panel'!B28-'0_Control_Panel'!B29</f>
        <v>0</v>
      </c>
      <c r="J5" s="17" t="s">
        <v>907</v>
      </c>
    </row>
    <row r="6" customFormat="false" ht="15" hidden="false" customHeight="true" outlineLevel="0" collapsed="false">
      <c r="A6" s="8" t="s">
        <v>908</v>
      </c>
      <c r="B6" s="16" t="n">
        <f aca="false">'4_Liquidation_Waterfall'!B30</f>
        <v>2500</v>
      </c>
      <c r="J6" s="17" t="s">
        <v>909</v>
      </c>
    </row>
    <row r="7" customFormat="false" ht="15" hidden="false" customHeight="true" outlineLevel="0" collapsed="false">
      <c r="A7" s="8" t="s">
        <v>910</v>
      </c>
      <c r="B7" s="16" t="n">
        <f aca="false">'4_Liquidation_Waterfall'!B24</f>
        <v>700</v>
      </c>
      <c r="J7" s="17" t="s">
        <v>911</v>
      </c>
    </row>
    <row r="8" customFormat="false" ht="15" hidden="false" customHeight="true" outlineLevel="0" collapsed="false">
      <c r="A8" s="8" t="s">
        <v>912</v>
      </c>
      <c r="B8" s="16" t="n">
        <f aca="false">'4_Liquidation_Waterfall'!B23</f>
        <v>150</v>
      </c>
      <c r="J8" s="17" t="s">
        <v>913</v>
      </c>
    </row>
    <row r="9" customFormat="false" ht="15" hidden="false" customHeight="true" outlineLevel="0" collapsed="false">
      <c r="A9" s="6" t="s">
        <v>914</v>
      </c>
      <c r="B9" s="20" t="n">
        <f aca="false">SUM(B4:B8)</f>
        <v>254206</v>
      </c>
    </row>
    <row r="10" customFormat="false" ht="15" hidden="false" customHeight="true" outlineLevel="0" collapsed="false">
      <c r="A10" s="8" t="s">
        <v>915</v>
      </c>
      <c r="B10" s="16" t="n">
        <f aca="false">'4_Liquidation_Waterfall'!B37</f>
        <v>254206</v>
      </c>
    </row>
    <row r="11" customFormat="false" ht="15" hidden="false" customHeight="true" outlineLevel="0" collapsed="false">
      <c r="A11" s="8" t="s">
        <v>916</v>
      </c>
      <c r="B11" s="16" t="n">
        <f aca="false">ROUND(B9-B10,2)</f>
        <v>0</v>
      </c>
    </row>
    <row r="12" customFormat="false" ht="15" hidden="false" customHeight="true" outlineLevel="0" collapsed="false">
      <c r="A12" s="8" t="s">
        <v>917</v>
      </c>
      <c r="B12" s="42" t="n">
        <f aca="false">('0_Control_Panel'!B25+'0_Control_Panel'!B26)/B4</f>
        <v>0.77472733360972</v>
      </c>
      <c r="C12" s="42" t="n">
        <f aca="false">('0_Control_Panel'!B25+'0_Control_Panel'!B26)/B9</f>
        <v>0.764517753318175</v>
      </c>
      <c r="J12" s="17" t="str">
        <f aca="false">"Both bases show the same thing: ~"&amp;TEXT(C12,"0%")&amp;"–"&amp;TEXT(B12,"0%")&amp;" of the stack is Govt dues; lenders are ~"&amp;TEXT(C13,"0.0%")&amp;"–"&amp;TEXT(B13,"0.0%")&amp;" ("&amp;TEXT(('0_Control_Panel'!B28+'0_Control_Panel'!B29+'0_Control_Panel'!B58*'0_Control_Panel'!B83)/B9,"0.0%")&amp;" if the new ₹15k cr facility is counted)."</f>
        <v>Both bases show the same thing: ~76%–77% of the stack is Govt dues; lenders are ~1.4%–1.4% (7.3% if the new ₹15k cr facility is counted).</v>
      </c>
    </row>
    <row r="13" customFormat="false" ht="15" hidden="false" customHeight="true" outlineLevel="0" collapsed="false">
      <c r="A13" s="8" t="s">
        <v>918</v>
      </c>
      <c r="B13" s="42" t="n">
        <f aca="false">('0_Control_Panel'!B28+'0_Control_Panel'!B29)/B4</f>
        <v>0.0139960774308767</v>
      </c>
      <c r="C13" s="42" t="n">
        <f aca="false">('0_Control_Panel'!B28+'0_Control_Panel'!B29)/B9</f>
        <v>0.0138116330849783</v>
      </c>
    </row>
    <row r="14" customFormat="false" ht="15" hidden="false" customHeight="true" outlineLevel="0" collapsed="false">
      <c r="A14" s="8" t="s">
        <v>919</v>
      </c>
      <c r="B14" s="42" t="n">
        <f aca="false">'4_Liquidation_Waterfall'!B27/B9</f>
        <v>0.0138116330849783</v>
      </c>
    </row>
    <row r="16" customFormat="false" ht="15" hidden="false" customHeight="true" outlineLevel="0" collapsed="false">
      <c r="A16" s="5" t="s">
        <v>920</v>
      </c>
      <c r="B16" s="5"/>
      <c r="C16" s="5"/>
      <c r="D16" s="5"/>
      <c r="E16" s="5"/>
      <c r="F16" s="5"/>
      <c r="G16" s="5"/>
      <c r="H16" s="5"/>
      <c r="I16" s="5"/>
      <c r="J16" s="5"/>
    </row>
    <row r="17" customFormat="false" ht="15" hidden="false" customHeight="true" outlineLevel="0" collapsed="false">
      <c r="A17" s="4" t="s">
        <v>921</v>
      </c>
    </row>
    <row r="18" customFormat="false" ht="21.75" hidden="false" customHeight="true" outlineLevel="0" collapsed="false">
      <c r="A18" s="47" t="s">
        <v>922</v>
      </c>
      <c r="B18" s="47" t="s">
        <v>923</v>
      </c>
      <c r="C18" s="47" t="s">
        <v>924</v>
      </c>
      <c r="D18" s="47" t="s">
        <v>925</v>
      </c>
      <c r="E18" s="47" t="s">
        <v>926</v>
      </c>
      <c r="F18" s="47" t="s">
        <v>927</v>
      </c>
      <c r="G18" s="47" t="s">
        <v>928</v>
      </c>
      <c r="H18" s="47" t="s">
        <v>929</v>
      </c>
      <c r="I18" s="47" t="s">
        <v>930</v>
      </c>
    </row>
    <row r="19" customFormat="false" ht="15" hidden="false" customHeight="true" outlineLevel="0" collapsed="false">
      <c r="A19" s="8" t="s">
        <v>931</v>
      </c>
      <c r="B19" s="14" t="n">
        <v>149596.252189051</v>
      </c>
      <c r="C19" s="14" t="n">
        <v>113475.129834833</v>
      </c>
      <c r="D19" s="12" t="n">
        <v>0.884244282650474</v>
      </c>
      <c r="E19" s="14" t="n">
        <v>19909.6816752777</v>
      </c>
      <c r="F19" s="12" t="n">
        <v>0.785424128169243</v>
      </c>
      <c r="G19" s="12" t="n">
        <v>0.726251008202174</v>
      </c>
      <c r="H19" s="12" t="n">
        <v>0.492131272680293</v>
      </c>
      <c r="I19" s="62" t="n">
        <f aca="false">B19/'4_Liquidation_Waterfall'!$G$18</f>
        <v>3.18188159678321</v>
      </c>
      <c r="J19" s="17" t="s">
        <v>932</v>
      </c>
    </row>
    <row r="20" customFormat="false" ht="15" hidden="false" customHeight="true" outlineLevel="0" collapsed="false">
      <c r="A20" s="8" t="s">
        <v>933</v>
      </c>
      <c r="B20" s="14" t="n">
        <v>108038.397332971</v>
      </c>
      <c r="C20" s="14" t="n">
        <v>65514.7308305951</v>
      </c>
      <c r="D20" s="12" t="n">
        <v>0.934213799979319</v>
      </c>
      <c r="E20" s="14" t="n">
        <v>16612.811947548</v>
      </c>
      <c r="F20" s="12" t="n">
        <v>0.571588655910733</v>
      </c>
      <c r="G20" s="12" t="n">
        <v>0.512415535943664</v>
      </c>
      <c r="H20" s="12" t="n">
        <v>0.278295800421783</v>
      </c>
      <c r="I20" s="62" t="n">
        <f aca="false">B20/'4_Liquidation_Waterfall'!$G$18</f>
        <v>2.29795454892347</v>
      </c>
    </row>
    <row r="21" customFormat="false" ht="15" hidden="false" customHeight="true" outlineLevel="0" collapsed="false">
      <c r="A21" s="8" t="s">
        <v>934</v>
      </c>
      <c r="B21" s="14" t="n">
        <v>126397.155116759</v>
      </c>
      <c r="C21" s="14" t="n">
        <v>108231.61590456</v>
      </c>
      <c r="D21" s="12" t="n">
        <v>0.810255133402584</v>
      </c>
      <c r="E21" s="14" t="n">
        <v>16881.80437675</v>
      </c>
      <c r="F21" s="12" t="n">
        <v>0.666053436500856</v>
      </c>
      <c r="G21" s="12" t="n">
        <v>0.606880316533787</v>
      </c>
      <c r="H21" s="12" t="n">
        <v>0.372760581011906</v>
      </c>
      <c r="I21" s="62" t="n">
        <f aca="false">B21/'4_Liquidation_Waterfall'!$G$18</f>
        <v>2.68844156097918</v>
      </c>
    </row>
    <row r="22" customFormat="false" ht="15" hidden="false" customHeight="true" outlineLevel="0" collapsed="false">
      <c r="A22" s="8" t="s">
        <v>935</v>
      </c>
      <c r="B22" s="14" t="n">
        <v>80335.4921699963</v>
      </c>
      <c r="C22" s="14" t="n">
        <v>33344.8948654776</v>
      </c>
      <c r="D22" s="12" t="n">
        <v>0.999432746284988</v>
      </c>
      <c r="E22" s="14" t="n">
        <v>14295.8055179161</v>
      </c>
      <c r="F22" s="12" t="n">
        <v>0.42904367063725</v>
      </c>
      <c r="G22" s="12" t="n">
        <v>0.369870550670181</v>
      </c>
      <c r="H22" s="12" t="n">
        <v>0.1357508151483</v>
      </c>
      <c r="I22" s="62" t="n">
        <f aca="false">B22/'4_Liquidation_Waterfall'!$G$18</f>
        <v>1.7087194389148</v>
      </c>
      <c r="J22" s="17" t="s">
        <v>936</v>
      </c>
    </row>
    <row r="23" customFormat="false" ht="15" hidden="false" customHeight="true" outlineLevel="0" collapsed="false">
      <c r="A23" s="8" t="s">
        <v>937</v>
      </c>
      <c r="B23" s="14" t="n">
        <v>45361.0679912236</v>
      </c>
      <c r="C23" s="14" t="n">
        <v>-7355.55847510536</v>
      </c>
      <c r="D23" s="12" t="n">
        <v>1.1923328019759</v>
      </c>
      <c r="E23" s="14" t="n">
        <v>11493.750227051</v>
      </c>
      <c r="F23" s="12" t="n">
        <v>0.249083166488583</v>
      </c>
      <c r="G23" s="12" t="n">
        <v>0.189910046521514</v>
      </c>
      <c r="H23" s="12" t="n">
        <v>0</v>
      </c>
      <c r="I23" s="62" t="n">
        <f aca="false">B23/'4_Liquidation_Waterfall'!$G$18</f>
        <v>0.96482061107591</v>
      </c>
    </row>
    <row r="24" customFormat="false" ht="15" hidden="false" customHeight="true" outlineLevel="0" collapsed="false">
      <c r="A24" s="8" t="s">
        <v>938</v>
      </c>
      <c r="B24" s="16" t="n">
        <f aca="false">'4_Liquidation_Waterfall'!C19</f>
        <v>33925.0279445623</v>
      </c>
      <c r="C24" s="16" t="n">
        <f aca="false">'4_Liquidation_Waterfall'!G18</f>
        <v>47015.0279445623</v>
      </c>
      <c r="D24" s="16" t="n">
        <f aca="false">'4_Liquidation_Waterfall'!E19</f>
        <v>60405.0279445623</v>
      </c>
    </row>
    <row r="25" customFormat="false" ht="15" hidden="false" customHeight="true" outlineLevel="0" collapsed="false">
      <c r="A25" s="6" t="s">
        <v>939</v>
      </c>
      <c r="B25" s="20" t="n">
        <f aca="false">MIN(B19:B22)</f>
        <v>80335.4921699963</v>
      </c>
      <c r="C25" s="20" t="n">
        <f aca="false">MAX(B19:B22)</f>
        <v>149596.252189051</v>
      </c>
    </row>
    <row r="26" customFormat="false" ht="15" hidden="false" customHeight="true" outlineLevel="0" collapsed="false">
      <c r="A26" s="6" t="s">
        <v>940</v>
      </c>
      <c r="B26" s="20" t="n">
        <f aca="false">MIN(C19:C22)</f>
        <v>33344.8948654776</v>
      </c>
      <c r="C26" s="20" t="n">
        <f aca="false">MAX(C19:C22)</f>
        <v>113475.129834833</v>
      </c>
    </row>
    <row r="27" customFormat="false" ht="15" hidden="false" customHeight="true" outlineLevel="0" collapsed="false">
      <c r="A27" s="6" t="s">
        <v>941</v>
      </c>
      <c r="B27" s="20" t="n">
        <f aca="false">MIN(B19:C23)</f>
        <v>-7355.55847510536</v>
      </c>
      <c r="C27" s="20" t="n">
        <f aca="false">MAX(B19:C23)</f>
        <v>149596.252189051</v>
      </c>
    </row>
    <row r="28" customFormat="false" ht="15" hidden="false" customHeight="true" outlineLevel="0" collapsed="false">
      <c r="A28" s="8" t="s">
        <v>942</v>
      </c>
      <c r="B28" s="8" t="str">
        <f aca="false">IF(AND('0_Control_Panel'!B11=2,'0_Control_Panel'!B9=1,'0_Control_Panel'!B17=1,'0_Control_Panel'!B18=1),IF(ABS('3_Restructuring_Projections'!C121-B20)&lt;1,"OK","STALE"),"n/a (switches differ)")</f>
        <v>OK</v>
      </c>
    </row>
    <row r="30" customFormat="false" ht="15" hidden="false" customHeight="true" outlineLevel="0" collapsed="false">
      <c r="A30" s="5" t="s">
        <v>943</v>
      </c>
      <c r="B30" s="5"/>
      <c r="C30" s="5"/>
      <c r="D30" s="5"/>
      <c r="E30" s="5"/>
      <c r="F30" s="5"/>
      <c r="G30" s="5"/>
      <c r="H30" s="5"/>
      <c r="I30" s="5"/>
      <c r="J30" s="5"/>
    </row>
    <row r="31" customFormat="false" ht="15" hidden="false" customHeight="true" outlineLevel="0" collapsed="false">
      <c r="A31" s="47" t="s">
        <v>515</v>
      </c>
      <c r="B31" s="47" t="s">
        <v>452</v>
      </c>
      <c r="C31" s="47" t="s">
        <v>453</v>
      </c>
      <c r="D31" s="47" t="s">
        <v>454</v>
      </c>
      <c r="E31" s="47" t="s">
        <v>455</v>
      </c>
      <c r="F31" s="47" t="s">
        <v>456</v>
      </c>
    </row>
    <row r="32" customFormat="false" ht="15" hidden="false" customHeight="true" outlineLevel="0" collapsed="false">
      <c r="A32" s="8" t="s">
        <v>944</v>
      </c>
      <c r="B32" s="16" t="n">
        <f aca="false">'3_Restructuring_Projections'!D39</f>
        <v>11702.7386328</v>
      </c>
      <c r="C32" s="16" t="n">
        <f aca="false">'3_Restructuring_Projections'!E39</f>
        <v>13928.8337325503</v>
      </c>
      <c r="D32" s="16" t="n">
        <f aca="false">'3_Restructuring_Projections'!F39</f>
        <v>16612.811947548</v>
      </c>
      <c r="E32" s="16" t="n">
        <f aca="false">'3_Restructuring_Projections'!G39</f>
        <v>19851.392895026</v>
      </c>
      <c r="F32" s="16" t="n">
        <f aca="false">'3_Restructuring_Projections'!H39</f>
        <v>23763.6819980901</v>
      </c>
    </row>
    <row r="33" customFormat="false" ht="15" hidden="false" customHeight="true" outlineLevel="0" collapsed="false">
      <c r="A33" s="8" t="s">
        <v>945</v>
      </c>
      <c r="B33" s="16" t="n">
        <f aca="false">-'3_Restructuring_Projections'!D61</f>
        <v>-13000</v>
      </c>
      <c r="C33" s="16" t="n">
        <f aca="false">-'3_Restructuring_Projections'!E61</f>
        <v>-15500</v>
      </c>
      <c r="D33" s="16" t="n">
        <f aca="false">-'3_Restructuring_Projections'!F61</f>
        <v>-15500</v>
      </c>
      <c r="E33" s="16" t="n">
        <f aca="false">-'3_Restructuring_Projections'!G61</f>
        <v>-12000</v>
      </c>
      <c r="F33" s="16" t="n">
        <f aca="false">-'3_Restructuring_Projections'!H61</f>
        <v>-12000</v>
      </c>
    </row>
    <row r="34" customFormat="false" ht="15" hidden="false" customHeight="true" outlineLevel="0" collapsed="false">
      <c r="A34" s="6" t="s">
        <v>946</v>
      </c>
      <c r="B34" s="73" t="n">
        <f aca="false">B32+B33</f>
        <v>-1297.2613672</v>
      </c>
      <c r="C34" s="73" t="n">
        <f aca="false">C32+C33</f>
        <v>-1571.16626744971</v>
      </c>
      <c r="D34" s="73" t="n">
        <f aca="false">D32+D33</f>
        <v>1112.81194754799</v>
      </c>
      <c r="E34" s="73" t="n">
        <f aca="false">E32+E33</f>
        <v>7851.39289502599</v>
      </c>
      <c r="F34" s="73" t="n">
        <f aca="false">F32+F33</f>
        <v>11763.6819980901</v>
      </c>
    </row>
    <row r="35" customFormat="false" ht="15" hidden="false" customHeight="true" outlineLevel="0" collapsed="false">
      <c r="A35" s="8" t="s">
        <v>947</v>
      </c>
      <c r="B35" s="16" t="n">
        <f aca="false">'3_Restructuring_Projections'!D92+'3_Restructuring_Projections'!D93</f>
        <v>-93</v>
      </c>
      <c r="C35" s="16" t="n">
        <f aca="false">'3_Restructuring_Projections'!E92+'3_Restructuring_Projections'!E93</f>
        <v>-93</v>
      </c>
      <c r="D35" s="16" t="n">
        <f aca="false">'3_Restructuring_Projections'!F92+'3_Restructuring_Projections'!F93</f>
        <v>-93</v>
      </c>
      <c r="E35" s="16" t="n">
        <f aca="false">'3_Restructuring_Projections'!G92+'3_Restructuring_Projections'!G93</f>
        <v>-93</v>
      </c>
      <c r="F35" s="16" t="n">
        <f aca="false">'3_Restructuring_Projections'!H92+'3_Restructuring_Projections'!H93</f>
        <v>-14493</v>
      </c>
    </row>
    <row r="36" customFormat="false" ht="15" hidden="false" customHeight="true" outlineLevel="0" collapsed="false">
      <c r="A36" s="8" t="s">
        <v>948</v>
      </c>
      <c r="B36" s="16" t="n">
        <f aca="false">'3_Restructuring_Projections'!D97+'3_Restructuring_Projections'!D95</f>
        <v>30000</v>
      </c>
      <c r="C36" s="16" t="n">
        <f aca="false">'3_Restructuring_Projections'!E97+'3_Restructuring_Projections'!E95</f>
        <v>0</v>
      </c>
      <c r="D36" s="16" t="n">
        <f aca="false">'3_Restructuring_Projections'!F97+'3_Restructuring_Projections'!F95</f>
        <v>0</v>
      </c>
      <c r="E36" s="16" t="n">
        <f aca="false">'3_Restructuring_Projections'!G97+'3_Restructuring_Projections'!G95</f>
        <v>0</v>
      </c>
      <c r="F36" s="16" t="n">
        <f aca="false">'3_Restructuring_Projections'!H97+'3_Restructuring_Projections'!H95</f>
        <v>0</v>
      </c>
    </row>
    <row r="37" customFormat="false" ht="15" hidden="false" customHeight="true" outlineLevel="0" collapsed="false">
      <c r="A37" s="8" t="s">
        <v>949</v>
      </c>
      <c r="B37" s="16" t="n">
        <f aca="false">'3_Restructuring_Projections'!D101</f>
        <v>0</v>
      </c>
      <c r="C37" s="16" t="n">
        <f aca="false">'3_Restructuring_Projections'!E101</f>
        <v>0</v>
      </c>
      <c r="D37" s="16" t="n">
        <f aca="false">'3_Restructuring_Projections'!F101</f>
        <v>0</v>
      </c>
      <c r="E37" s="16" t="n">
        <f aca="false">'3_Restructuring_Projections'!G101</f>
        <v>0</v>
      </c>
      <c r="F37" s="16" t="n">
        <f aca="false">'3_Restructuring_Projections'!H101</f>
        <v>0</v>
      </c>
    </row>
    <row r="38" customFormat="false" ht="15" hidden="false" customHeight="true" outlineLevel="0" collapsed="false">
      <c r="A38" s="6" t="s">
        <v>321</v>
      </c>
      <c r="B38" s="20" t="n">
        <f aca="false">'3_Restructuring_Projections'!D102</f>
        <v>34359.9270424079</v>
      </c>
      <c r="C38" s="20" t="n">
        <f aca="false">'3_Restructuring_Projections'!E102</f>
        <v>32601.4846866315</v>
      </c>
      <c r="D38" s="20" t="n">
        <f aca="false">'3_Restructuring_Projections'!F102</f>
        <v>30904.6863529983</v>
      </c>
      <c r="E38" s="20" t="n">
        <f aca="false">'3_Restructuring_Projections'!G102</f>
        <v>34609.9810807069</v>
      </c>
      <c r="F38" s="20" t="n">
        <f aca="false">'3_Restructuring_Projections'!H102</f>
        <v>29115.5981149132</v>
      </c>
    </row>
    <row r="39" customFormat="false" ht="15" hidden="false" customHeight="true" outlineLevel="0" collapsed="false">
      <c r="A39" s="8" t="s">
        <v>950</v>
      </c>
      <c r="B39" s="16" t="n">
        <f aca="false">B38-'3_Restructuring_Projections'!$B$100</f>
        <v>30359.9270424079</v>
      </c>
      <c r="C39" s="16" t="n">
        <f aca="false">C38-'3_Restructuring_Projections'!$B$100</f>
        <v>28601.4846866315</v>
      </c>
      <c r="D39" s="16" t="n">
        <f aca="false">D38-'3_Restructuring_Projections'!$B$100</f>
        <v>26904.6863529983</v>
      </c>
      <c r="E39" s="16" t="n">
        <f aca="false">E38-'3_Restructuring_Projections'!$B$100</f>
        <v>30609.9810807069</v>
      </c>
      <c r="F39" s="16" t="n">
        <f aca="false">F38-'3_Restructuring_Projections'!$B$100</f>
        <v>25115.5981149132</v>
      </c>
    </row>
    <row r="40" customFormat="false" ht="15" hidden="false" customHeight="true" outlineLevel="0" collapsed="false">
      <c r="A40" s="8" t="s">
        <v>951</v>
      </c>
      <c r="B40" s="74" t="n">
        <f aca="false">'3_Restructuring_Projections'!D110</f>
        <v>-0.635111799683896</v>
      </c>
      <c r="C40" s="74" t="n">
        <f aca="false">'3_Restructuring_Projections'!E110</f>
        <v>-0.770602933776791</v>
      </c>
      <c r="D40" s="74" t="n">
        <f aca="false">'3_Restructuring_Projections'!F110</f>
        <v>0.314781665715338</v>
      </c>
      <c r="E40" s="74" t="n">
        <f aca="false">'3_Restructuring_Projections'!G110</f>
        <v>2.32444865792608</v>
      </c>
      <c r="F40" s="74" t="n">
        <f aca="false">'3_Restructuring_Projections'!H110</f>
        <v>0.667620919359407</v>
      </c>
    </row>
    <row r="41" customFormat="false" ht="15" hidden="false" customHeight="true" outlineLevel="0" collapsed="false">
      <c r="A41" s="8" t="s">
        <v>952</v>
      </c>
      <c r="B41" s="74" t="n">
        <f aca="false">'3_Restructuring_Projections'!D109</f>
        <v>9.96818361934266</v>
      </c>
      <c r="C41" s="74" t="n">
        <f aca="false">'3_Restructuring_Projections'!E109</f>
        <v>9.19107380197332</v>
      </c>
      <c r="D41" s="74" t="n">
        <f aca="false">'3_Restructuring_Projections'!F109</f>
        <v>8.33910594814929</v>
      </c>
      <c r="E41" s="74" t="n">
        <f aca="false">'3_Restructuring_Projections'!G109</f>
        <v>7.2746676096686</v>
      </c>
      <c r="F41" s="74" t="n">
        <f aca="false">'3_Restructuring_Projections'!H109</f>
        <v>6.13995588653453</v>
      </c>
    </row>
    <row r="42" customFormat="false" ht="15" hidden="false" customHeight="true" outlineLevel="0" collapsed="false">
      <c r="A42" s="8" t="s">
        <v>953</v>
      </c>
      <c r="B42" s="74" t="n">
        <f aca="false">IFERROR(('3_Restructuring_Projections'!D107+'3_Restructuring_Projections'!D71+'2_Capital_Structure_Waterfall'!D62)/'3_Restructuring_Projections'!D39,0)</f>
        <v>12.3146000959986</v>
      </c>
      <c r="C42" s="74" t="n">
        <f aca="false">IFERROR(('3_Restructuring_Projections'!E107+'3_Restructuring_Projections'!E71+'2_Capital_Structure_Waterfall'!E62)/'3_Restructuring_Projections'!E39,0)</f>
        <v>11.0669069959392</v>
      </c>
      <c r="D42" s="74" t="n">
        <f aca="false">IFERROR(('3_Restructuring_Projections'!F107+'3_Restructuring_Projections'!F71+'2_Capital_Structure_Waterfall'!F62)/'3_Restructuring_Projections'!F39,0)</f>
        <v>9.82689424132062</v>
      </c>
      <c r="E42" s="74" t="n">
        <f aca="false">IFERROR(('3_Restructuring_Projections'!G107+'3_Restructuring_Projections'!G71+'2_Capital_Structure_Waterfall'!G62)/'3_Restructuring_Projections'!G39,0)</f>
        <v>8.44429849242801</v>
      </c>
      <c r="F42" s="74" t="n">
        <f aca="false">IFERROR(('3_Restructuring_Projections'!H107+'3_Restructuring_Projections'!H71+'2_Capital_Structure_Waterfall'!H62)/'3_Restructuring_Projections'!H39,0)</f>
        <v>7.05016676380007</v>
      </c>
    </row>
    <row r="44" customFormat="false" ht="15" hidden="false" customHeight="true" outlineLevel="0" collapsed="false">
      <c r="A44" s="6" t="s">
        <v>954</v>
      </c>
    </row>
    <row r="45" customFormat="false" ht="21.75" hidden="false" customHeight="true" outlineLevel="0" collapsed="false">
      <c r="A45" s="47" t="s">
        <v>955</v>
      </c>
      <c r="B45" s="47" t="s">
        <v>956</v>
      </c>
      <c r="C45" s="47" t="s">
        <v>957</v>
      </c>
      <c r="D45" s="47" t="s">
        <v>958</v>
      </c>
    </row>
    <row r="46" customFormat="false" ht="15" hidden="false" customHeight="true" outlineLevel="0" collapsed="false">
      <c r="A46" s="8" t="s">
        <v>931</v>
      </c>
      <c r="B46" s="14" t="n">
        <v>0</v>
      </c>
      <c r="C46" s="16" t="n">
        <f aca="false">'0_Control_Panel'!$B$81+'0_Control_Panel'!$B$58*'0_Control_Panel'!$B$83</f>
        <v>30000</v>
      </c>
      <c r="D46" s="14" t="n">
        <v>0</v>
      </c>
    </row>
    <row r="47" customFormat="false" ht="15" hidden="false" customHeight="true" outlineLevel="0" collapsed="false">
      <c r="A47" s="8" t="s">
        <v>933</v>
      </c>
      <c r="B47" s="14" t="n">
        <v>410.091912670177</v>
      </c>
      <c r="C47" s="16" t="n">
        <f aca="false">'0_Control_Panel'!$B$81+'0_Control_Panel'!$B$58*'0_Control_Panel'!$B$83</f>
        <v>30000</v>
      </c>
      <c r="D47" s="14" t="n">
        <v>0</v>
      </c>
    </row>
    <row r="48" customFormat="false" ht="15" hidden="false" customHeight="true" outlineLevel="0" collapsed="false">
      <c r="A48" s="8" t="s">
        <v>934</v>
      </c>
      <c r="B48" s="14" t="n">
        <v>0</v>
      </c>
      <c r="C48" s="16" t="n">
        <f aca="false">'0_Control_Panel'!$B$81+'0_Control_Panel'!$B$58*'0_Control_Panel'!$B$83</f>
        <v>30000</v>
      </c>
      <c r="D48" s="14" t="n">
        <v>0</v>
      </c>
    </row>
    <row r="49" customFormat="false" ht="15" hidden="false" customHeight="true" outlineLevel="0" collapsed="false">
      <c r="A49" s="8" t="s">
        <v>935</v>
      </c>
      <c r="B49" s="14" t="n">
        <v>11777.6915527883</v>
      </c>
      <c r="C49" s="16" t="n">
        <f aca="false">'0_Control_Panel'!$B$81+'0_Control_Panel'!$B$58*'0_Control_Panel'!$B$83</f>
        <v>30000</v>
      </c>
      <c r="D49" s="14" t="n">
        <v>0</v>
      </c>
    </row>
    <row r="50" customFormat="false" ht="15" hidden="false" customHeight="true" outlineLevel="0" collapsed="false">
      <c r="A50" s="8" t="s">
        <v>937</v>
      </c>
      <c r="B50" s="14" t="n">
        <v>26759.2185176319</v>
      </c>
      <c r="C50" s="16" t="n">
        <f aca="false">'0_Control_Panel'!$B$81+'0_Control_Panel'!$B$58*'0_Control_Panel'!$B$83</f>
        <v>30000</v>
      </c>
      <c r="D50" s="14" t="n">
        <v>669.64496420517</v>
      </c>
    </row>
    <row r="52" customFormat="false" ht="30" hidden="false" customHeight="true" outlineLevel="0" collapsed="false">
      <c r="A52" s="75" t="s">
        <v>959</v>
      </c>
      <c r="B52" s="75"/>
      <c r="C52" s="75"/>
      <c r="D52" s="75"/>
      <c r="E52" s="75"/>
      <c r="F52" s="75"/>
      <c r="G52" s="75"/>
      <c r="H52" s="75"/>
      <c r="I52" s="75"/>
      <c r="J52" s="75"/>
    </row>
    <row r="54" customFormat="false" ht="15" hidden="false" customHeight="true" outlineLevel="0" collapsed="false">
      <c r="A54" s="5" t="s">
        <v>960</v>
      </c>
      <c r="B54" s="5"/>
      <c r="C54" s="5"/>
      <c r="D54" s="5"/>
      <c r="E54" s="5"/>
      <c r="F54" s="5"/>
      <c r="G54" s="5"/>
      <c r="H54" s="5"/>
      <c r="I54" s="5"/>
      <c r="J54" s="5"/>
    </row>
    <row r="55" customFormat="false" ht="15" hidden="false" customHeight="true" outlineLevel="0" collapsed="false">
      <c r="A55" s="4" t="s">
        <v>961</v>
      </c>
    </row>
    <row r="56" customFormat="false" ht="15" hidden="false" customHeight="true" outlineLevel="0" collapsed="false">
      <c r="A56" s="47" t="s">
        <v>962</v>
      </c>
      <c r="B56" s="47" t="s">
        <v>124</v>
      </c>
      <c r="C56" s="47" t="s">
        <v>125</v>
      </c>
      <c r="D56" s="47" t="s">
        <v>126</v>
      </c>
      <c r="E56" s="47" t="s">
        <v>128</v>
      </c>
      <c r="F56" s="47" t="s">
        <v>963</v>
      </c>
      <c r="G56" s="47" t="s">
        <v>964</v>
      </c>
    </row>
    <row r="57" customFormat="false" ht="15" hidden="false" customHeight="true" outlineLevel="0" collapsed="false">
      <c r="A57" s="8" t="s">
        <v>173</v>
      </c>
      <c r="B57" s="14" t="n">
        <v>3000.02794456231</v>
      </c>
      <c r="C57" s="14" t="n">
        <v>3274.68093004467</v>
      </c>
      <c r="D57" s="14" t="n">
        <v>2311.75441043565</v>
      </c>
      <c r="E57" s="14" t="n">
        <v>2690.06554542929</v>
      </c>
      <c r="F57" s="16" t="n">
        <f aca="false">'0_Control_Panel'!B92</f>
        <v>3000.02794456231</v>
      </c>
      <c r="G57" s="8" t="str">
        <f aca="false">IF(ABS(INDEX(B57:E57,'0_Control_Panel'!$B$5)-F57)&lt;0.5,"OK","differs")</f>
        <v>OK</v>
      </c>
      <c r="J57" s="17" t="s">
        <v>965</v>
      </c>
    </row>
    <row r="58" customFormat="false" ht="15" hidden="false" customHeight="true" outlineLevel="0" collapsed="false">
      <c r="A58" s="8" t="s">
        <v>966</v>
      </c>
      <c r="B58" s="10" t="n">
        <v>5</v>
      </c>
      <c r="C58" s="10" t="n">
        <v>3</v>
      </c>
      <c r="D58" s="10" t="n">
        <v>7</v>
      </c>
      <c r="E58" s="10" t="n">
        <v>6</v>
      </c>
      <c r="F58" s="45" t="n">
        <f aca="false">'0_Control_Panel'!B93</f>
        <v>5</v>
      </c>
      <c r="G58" s="8" t="str">
        <f aca="false">IF(ABS(INDEX(B58:E58,'0_Control_Panel'!$B$5)-F58)&lt;0.5,"OK","differs")</f>
        <v>OK</v>
      </c>
    </row>
    <row r="59" customFormat="false" ht="15" hidden="false" customHeight="true" outlineLevel="0" collapsed="false">
      <c r="A59" s="8" t="s">
        <v>967</v>
      </c>
      <c r="B59" s="10" t="n">
        <v>0</v>
      </c>
      <c r="C59" s="10" t="n">
        <v>1</v>
      </c>
      <c r="D59" s="10" t="n">
        <v>1</v>
      </c>
      <c r="E59" s="10" t="n">
        <v>0</v>
      </c>
      <c r="F59" s="45" t="n">
        <f aca="false">'0_Control_Panel'!B96</f>
        <v>0</v>
      </c>
      <c r="G59" s="8" t="str">
        <f aca="false">IF(ABS(INDEX(B59:E59,'0_Control_Panel'!$B$5)-F59)&lt;0.5,"OK","differs")</f>
        <v>OK</v>
      </c>
    </row>
    <row r="60" customFormat="false" ht="15" hidden="false" customHeight="true" outlineLevel="0" collapsed="false">
      <c r="A60" s="8" t="s">
        <v>178</v>
      </c>
      <c r="B60" s="14" t="n">
        <v>42071.3</v>
      </c>
      <c r="C60" s="14" t="n">
        <v>0</v>
      </c>
      <c r="D60" s="14" t="n">
        <v>0</v>
      </c>
      <c r="E60" s="14" t="n">
        <v>0</v>
      </c>
      <c r="F60" s="16" t="n">
        <f aca="false">'0_Control_Panel'!B97</f>
        <v>42071.3</v>
      </c>
      <c r="G60" s="8" t="str">
        <f aca="false">IF(ABS(INDEX(B60:E60,'0_Control_Panel'!$B$5)-F60)&lt;0.5,"OK","differs")</f>
        <v>OK</v>
      </c>
    </row>
    <row r="61" customFormat="false" ht="15" hidden="false" customHeight="true" outlineLevel="0" collapsed="false">
      <c r="A61" s="8" t="s">
        <v>968</v>
      </c>
      <c r="B61" s="14" t="n">
        <v>70831</v>
      </c>
      <c r="C61" s="14" t="n">
        <v>0</v>
      </c>
      <c r="D61" s="14" t="n">
        <v>22076</v>
      </c>
      <c r="E61" s="14" t="n">
        <v>7076</v>
      </c>
      <c r="F61" s="16" t="n">
        <f aca="false">'0_Control_Panel'!B98</f>
        <v>70831</v>
      </c>
      <c r="G61" s="8" t="str">
        <f aca="false">IF(ABS(INDEX(B61:E61,'0_Control_Panel'!$B$5)-F61)&lt;0.5,"OK","differs")</f>
        <v>OK</v>
      </c>
    </row>
    <row r="62" customFormat="false" ht="15" hidden="false" customHeight="true" outlineLevel="0" collapsed="false">
      <c r="A62" s="8" t="s">
        <v>969</v>
      </c>
      <c r="B62" s="14" t="n">
        <v>0</v>
      </c>
      <c r="C62" s="14" t="n">
        <v>71499.2329738819</v>
      </c>
      <c r="D62" s="14" t="n">
        <v>63695.5083057394</v>
      </c>
      <c r="E62" s="14" t="n">
        <v>31404.55354357</v>
      </c>
      <c r="F62" s="16" t="n">
        <f aca="false">'0_Control_Panel'!B102</f>
        <v>0</v>
      </c>
      <c r="G62" s="8" t="str">
        <f aca="false">IF(ABS(INDEX(B62:E62,'0_Control_Panel'!$B$5)-F62)&lt;0.5,"OK","differs")</f>
        <v>OK</v>
      </c>
    </row>
    <row r="63" customFormat="false" ht="15" hidden="false" customHeight="true" outlineLevel="0" collapsed="false">
      <c r="A63" s="8" t="s">
        <v>970</v>
      </c>
      <c r="B63" s="76" t="n">
        <v>-0.770602933776791</v>
      </c>
      <c r="C63" s="76" t="n">
        <v>-0.153137173547549</v>
      </c>
      <c r="D63" s="76" t="n">
        <v>-2.88419691133495</v>
      </c>
      <c r="E63" s="76" t="n">
        <v>-0.994205875285641</v>
      </c>
      <c r="F63" s="74" t="n">
        <f aca="false">'0_Control_Panel'!B103</f>
        <v>-0.770602933776791</v>
      </c>
      <c r="G63" s="8" t="str">
        <f aca="false">IF(ABS(INDEX(B63:E63,'0_Control_Panel'!$B$5)-F63)&lt;0.5,"OK","differs")</f>
        <v>OK</v>
      </c>
    </row>
    <row r="64" customFormat="false" ht="15" hidden="false" customHeight="true" outlineLevel="0" collapsed="false">
      <c r="A64" s="8" t="s">
        <v>971</v>
      </c>
      <c r="B64" s="12" t="n">
        <v>0.584040395011661</v>
      </c>
      <c r="C64" s="12" t="n">
        <v>0.458182513440273</v>
      </c>
      <c r="D64" s="12" t="n">
        <v>0.4899</v>
      </c>
      <c r="E64" s="12" t="n">
        <v>0.401865334815653</v>
      </c>
      <c r="F64" s="42" t="n">
        <f aca="false">'0_Control_Panel'!B99</f>
        <v>0.584040395011661</v>
      </c>
      <c r="G64" s="8" t="str">
        <f aca="false">IF(ABS(INDEX(B64:E64,'0_Control_Panel'!$B$5)-F64)&lt;0.0005,"OK","differs")</f>
        <v>OK</v>
      </c>
    </row>
    <row r="65" customFormat="false" ht="15" hidden="false" customHeight="true" outlineLevel="0" collapsed="false">
      <c r="A65" s="8" t="s">
        <v>972</v>
      </c>
      <c r="B65" s="14" t="n">
        <v>108038.397332971</v>
      </c>
      <c r="C65" s="14" t="n">
        <v>109263.331027122</v>
      </c>
      <c r="D65" s="14" t="n">
        <v>108038.397332971</v>
      </c>
      <c r="E65" s="14" t="n">
        <v>108038.397332971</v>
      </c>
      <c r="F65" s="16" t="n">
        <f aca="false">'0_Control_Panel'!B104</f>
        <v>108038.397332971</v>
      </c>
      <c r="G65" s="8" t="str">
        <f aca="false">IF(ABS(INDEX(B65:E65,'0_Control_Panel'!$B$5)-F65)&lt;0.5,"OK","differs")</f>
        <v>OK</v>
      </c>
    </row>
    <row r="66" customFormat="false" ht="15" hidden="false" customHeight="true" outlineLevel="0" collapsed="false">
      <c r="A66" s="8" t="s">
        <v>973</v>
      </c>
      <c r="B66" s="14" t="n">
        <v>47015.0279445623</v>
      </c>
      <c r="C66" s="14" t="n">
        <v>47289.6809300447</v>
      </c>
      <c r="D66" s="14" t="n">
        <v>46326.7544104357</v>
      </c>
      <c r="E66" s="14" t="n">
        <v>46705.0655454293</v>
      </c>
      <c r="F66" s="16" t="n">
        <f aca="false">'0_Control_Panel'!B105</f>
        <v>47015.0279445623</v>
      </c>
      <c r="G66" s="8" t="str">
        <f aca="false">IF(ABS(INDEX(B66:E66,'0_Control_Panel'!$B$5)-F66)&lt;0.5,"OK","differs")</f>
        <v>OK</v>
      </c>
    </row>
    <row r="67" customFormat="false" ht="15" hidden="false" customHeight="true" outlineLevel="0" collapsed="false">
      <c r="A67" s="8" t="s">
        <v>974</v>
      </c>
      <c r="B67" s="12" t="n">
        <v>0.571588655910733</v>
      </c>
      <c r="C67" s="12" t="n">
        <v>0.582570845800624</v>
      </c>
      <c r="D67" s="12" t="n">
        <v>0.571588655910733</v>
      </c>
      <c r="E67" s="12" t="n">
        <v>0.571588655910733</v>
      </c>
      <c r="F67" s="42" t="n">
        <f aca="false">'0_Control_Panel'!B112</f>
        <v>0.571588655910733</v>
      </c>
      <c r="G67" s="8" t="str">
        <f aca="false">IF(ABS(INDEX(B67:E67,'0_Control_Panel'!$B$5)-F67)&lt;0.0005,"OK","differs")</f>
        <v>OK</v>
      </c>
      <c r="J67" s="17" t="s">
        <v>975</v>
      </c>
    </row>
    <row r="68" customFormat="false" ht="15" hidden="false" customHeight="true" outlineLevel="0" collapsed="false">
      <c r="A68" s="8" t="s">
        <v>976</v>
      </c>
      <c r="B68" s="12" t="n">
        <v>0.512415535943664</v>
      </c>
      <c r="C68" s="12" t="n">
        <v>0.530112588577644</v>
      </c>
      <c r="D68" s="12" t="n">
        <v>0.512415535943664</v>
      </c>
      <c r="E68" s="12" t="n">
        <v>0.512415535943664</v>
      </c>
      <c r="F68" s="42" t="n">
        <f aca="false">'0_Control_Panel'!B113</f>
        <v>0.512415535943664</v>
      </c>
      <c r="G68" s="8" t="str">
        <f aca="false">IF(ABS(INDEX(B68:E68,'0_Control_Panel'!$B$5)-F68)&lt;0.0005,"OK","differs")</f>
        <v>OK</v>
      </c>
    </row>
    <row r="69" customFormat="false" ht="15" hidden="false" customHeight="true" outlineLevel="0" collapsed="false">
      <c r="A69" s="8" t="s">
        <v>977</v>
      </c>
      <c r="B69" s="12" t="n">
        <v>0.278295800421783</v>
      </c>
      <c r="C69" s="12" t="n">
        <v>0.295992853055763</v>
      </c>
      <c r="D69" s="12" t="n">
        <v>0.278295800421783</v>
      </c>
      <c r="E69" s="12" t="n">
        <v>0.278295800421783</v>
      </c>
      <c r="F69" s="42" t="n">
        <f aca="false">'0_Control_Panel'!B114</f>
        <v>0.278295800421783</v>
      </c>
      <c r="G69" s="8" t="str">
        <f aca="false">IF(ABS(INDEX(B69:E69,'0_Control_Panel'!$B$5)-F69)&lt;0.0005,"OK","differs")</f>
        <v>OK</v>
      </c>
    </row>
    <row r="70" customFormat="false" ht="15" hidden="false" customHeight="true" outlineLevel="0" collapsed="false">
      <c r="A70" s="8" t="s">
        <v>978</v>
      </c>
      <c r="B70" s="12" t="n">
        <v>0.18621234168671</v>
      </c>
      <c r="C70" s="12" t="n">
        <v>0.187291101092523</v>
      </c>
      <c r="D70" s="12" t="n">
        <v>0.183508997510758</v>
      </c>
      <c r="E70" s="12" t="n">
        <v>0.184994896870204</v>
      </c>
      <c r="F70" s="42" t="n">
        <f aca="false">'0_Control_Panel'!B108</f>
        <v>0.18621234168671</v>
      </c>
      <c r="G70" s="8" t="str">
        <f aca="false">IF(ABS(INDEX(B70:E70,'0_Control_Panel'!$B$5)-F70)&lt;0.0005,"OK","differs")</f>
        <v>OK</v>
      </c>
    </row>
    <row r="71" customFormat="false" ht="15" hidden="false" customHeight="true" outlineLevel="0" collapsed="false">
      <c r="A71" s="8" t="s">
        <v>979</v>
      </c>
      <c r="B71" s="14" t="n">
        <v>29115.5981149132</v>
      </c>
      <c r="C71" s="14" t="n">
        <v>4000</v>
      </c>
      <c r="D71" s="14" t="n">
        <v>4000</v>
      </c>
      <c r="E71" s="14" t="n">
        <v>4000</v>
      </c>
    </row>
    <row r="72" customFormat="false" ht="15" hidden="false" customHeight="true" outlineLevel="0" collapsed="false">
      <c r="A72" s="8" t="s">
        <v>980</v>
      </c>
      <c r="B72" s="63" t="n">
        <v>6.13995588653453</v>
      </c>
      <c r="C72" s="63" t="n">
        <v>8.88751415289756</v>
      </c>
      <c r="D72" s="63" t="n">
        <v>9.47092382002455</v>
      </c>
      <c r="E72" s="63" t="n">
        <v>7.65591791736312</v>
      </c>
    </row>
    <row r="73" customFormat="false" ht="15" hidden="false" customHeight="true" outlineLevel="0" collapsed="false">
      <c r="A73" s="8" t="s">
        <v>981</v>
      </c>
      <c r="B73" s="10" t="n">
        <v>0</v>
      </c>
      <c r="C73" s="10" t="n">
        <v>0</v>
      </c>
      <c r="D73" s="10" t="n">
        <v>0</v>
      </c>
      <c r="E73" s="10" t="n">
        <v>0</v>
      </c>
      <c r="F73" s="45" t="n">
        <f aca="false">'0_Control_Panel'!B110</f>
        <v>0</v>
      </c>
    </row>
    <row r="75" customFormat="false" ht="15" hidden="false" customHeight="true" outlineLevel="0" collapsed="false">
      <c r="A75" s="5" t="s">
        <v>982</v>
      </c>
      <c r="B75" s="5"/>
      <c r="C75" s="5"/>
      <c r="D75" s="5"/>
      <c r="E75" s="5"/>
      <c r="F75" s="5"/>
      <c r="G75" s="5"/>
      <c r="H75" s="5"/>
      <c r="I75" s="5"/>
      <c r="J75" s="5"/>
    </row>
    <row r="76" customFormat="false" ht="15" hidden="false" customHeight="true" outlineLevel="0" collapsed="false">
      <c r="A76" s="8" t="s">
        <v>983</v>
      </c>
      <c r="B76" s="16" t="n">
        <f aca="false">'0_Control_Panel'!F81</f>
        <v>30000</v>
      </c>
    </row>
    <row r="77" customFormat="false" ht="15" hidden="false" customHeight="true" outlineLevel="0" collapsed="false">
      <c r="A77" s="8" t="s">
        <v>984</v>
      </c>
      <c r="B77" s="14" t="n">
        <v>31404.55354357</v>
      </c>
      <c r="J77" s="17" t="s">
        <v>985</v>
      </c>
    </row>
    <row r="78" customFormat="false" ht="15" hidden="false" customHeight="true" outlineLevel="0" collapsed="false">
      <c r="A78" s="8" t="s">
        <v>986</v>
      </c>
      <c r="B78" s="14" t="n">
        <v>53902.56</v>
      </c>
    </row>
    <row r="79" customFormat="false" ht="15" hidden="false" customHeight="true" outlineLevel="0" collapsed="false">
      <c r="A79" s="8" t="s">
        <v>987</v>
      </c>
      <c r="B79" s="42" t="n">
        <f aca="false">B78/'0_Control_Panel'!B39</f>
        <v>0.3936056361066</v>
      </c>
    </row>
    <row r="80" customFormat="false" ht="15" hidden="false" customHeight="true" outlineLevel="0" collapsed="false">
      <c r="A80" s="8" t="s">
        <v>988</v>
      </c>
      <c r="B80" s="12" t="n">
        <v>0.351534170897773</v>
      </c>
    </row>
    <row r="81" customFormat="false" ht="15" hidden="false" customHeight="true" outlineLevel="0" collapsed="false">
      <c r="A81" s="8" t="s">
        <v>989</v>
      </c>
      <c r="B81" s="14" t="n">
        <v>41200.47991813</v>
      </c>
    </row>
    <row r="82" customFormat="false" ht="15" hidden="false" customHeight="true" outlineLevel="0" collapsed="false">
      <c r="A82" s="8" t="s">
        <v>990</v>
      </c>
      <c r="B82" s="14" t="n">
        <v>17926.8584661114</v>
      </c>
    </row>
    <row r="83" customFormat="false" ht="15" hidden="false" customHeight="true" outlineLevel="0" collapsed="false">
      <c r="A83" s="8" t="s">
        <v>991</v>
      </c>
      <c r="B83" s="16" t="n">
        <f aca="false">'0_Control_Panel'!B81+'0_Control_Panel'!B58*'0_Control_Panel'!B83</f>
        <v>30000</v>
      </c>
    </row>
    <row r="85" customFormat="false" ht="15" hidden="false" customHeight="true" outlineLevel="0" collapsed="false">
      <c r="A85" s="5" t="s">
        <v>992</v>
      </c>
      <c r="B85" s="5"/>
      <c r="C85" s="5"/>
      <c r="D85" s="5"/>
      <c r="E85" s="5"/>
      <c r="F85" s="5"/>
      <c r="G85" s="5"/>
      <c r="H85" s="5"/>
      <c r="I85" s="5"/>
      <c r="J85" s="5"/>
    </row>
    <row r="86" customFormat="false" ht="42.75" hidden="false" customHeight="true" outlineLevel="0" collapsed="false">
      <c r="A86" s="47" t="s">
        <v>955</v>
      </c>
      <c r="B86" s="47" t="s">
        <v>993</v>
      </c>
      <c r="C86" s="47" t="s">
        <v>994</v>
      </c>
      <c r="D86" s="47" t="s">
        <v>995</v>
      </c>
      <c r="E86" s="47" t="s">
        <v>996</v>
      </c>
      <c r="F86" s="47" t="s">
        <v>997</v>
      </c>
    </row>
    <row r="87" customFormat="false" ht="15" hidden="false" customHeight="true" outlineLevel="0" collapsed="false">
      <c r="A87" s="8" t="s">
        <v>998</v>
      </c>
      <c r="B87" s="14" t="n">
        <v>47015.0279445623</v>
      </c>
      <c r="C87" s="12" t="n">
        <v>1</v>
      </c>
      <c r="D87" s="12" t="n">
        <v>0.18621234168671</v>
      </c>
      <c r="E87" s="12" t="n">
        <v>0.0748035924426165</v>
      </c>
      <c r="F87" s="8" t="str">
        <f aca="false">IF(0.65&gt;=C87,"YES","NO")</f>
        <v>NO</v>
      </c>
    </row>
    <row r="88" customFormat="false" ht="15" hidden="false" customHeight="true" outlineLevel="0" collapsed="false">
      <c r="A88" s="8" t="s">
        <v>999</v>
      </c>
      <c r="B88" s="14" t="n">
        <v>33925.0279445623</v>
      </c>
      <c r="C88" s="12" t="n">
        <v>1</v>
      </c>
      <c r="D88" s="12" t="n">
        <v>0.13479851635618</v>
      </c>
      <c r="E88" s="12" t="n">
        <v>0.0163511374211415</v>
      </c>
      <c r="F88" s="8" t="str">
        <f aca="false">IF(0.65&gt;=C88,"YES","NO")</f>
        <v>NO</v>
      </c>
      <c r="J88" s="17" t="s">
        <v>1000</v>
      </c>
    </row>
    <row r="89" customFormat="false" ht="15" hidden="false" customHeight="true" outlineLevel="0" collapsed="false">
      <c r="A89" s="8" t="s">
        <v>1001</v>
      </c>
      <c r="B89" s="14" t="n">
        <v>60405.0279445623</v>
      </c>
      <c r="C89" s="12" t="n">
        <v>1</v>
      </c>
      <c r="D89" s="12" t="n">
        <v>0.238804482341851</v>
      </c>
      <c r="E89" s="12" t="n">
        <v>0.134595675921421</v>
      </c>
      <c r="F89" s="8" t="str">
        <f aca="false">IF(0.65&gt;=C89,"YES","NO")</f>
        <v>NO</v>
      </c>
    </row>
    <row r="90" customFormat="false" ht="15" hidden="false" customHeight="true" outlineLevel="0" collapsed="false">
      <c r="A90" s="8" t="s">
        <v>1002</v>
      </c>
      <c r="B90" s="14" t="n">
        <v>13765.0279445623</v>
      </c>
      <c r="C90" s="12" t="n">
        <v>1</v>
      </c>
      <c r="D90" s="12" t="n">
        <v>0.0355245977234419</v>
      </c>
      <c r="E90" s="12" t="n">
        <v>0</v>
      </c>
      <c r="F90" s="8" t="str">
        <f aca="false">IF(0.65&gt;=C90,"YES","NO")</f>
        <v>NO</v>
      </c>
    </row>
    <row r="91" customFormat="false" ht="15" hidden="false" customHeight="true" outlineLevel="0" collapsed="false">
      <c r="A91" s="8" t="s">
        <v>1003</v>
      </c>
      <c r="B91" s="14" t="n">
        <v>10175.0279445623</v>
      </c>
      <c r="C91" s="12" t="n">
        <v>1</v>
      </c>
      <c r="D91" s="12" t="n">
        <v>0.0170522933163308</v>
      </c>
      <c r="E91" s="12" t="n">
        <v>0</v>
      </c>
      <c r="F91" s="8" t="str">
        <f aca="false">IF(0.65&gt;=C91,"YES","NO")</f>
        <v>NO</v>
      </c>
    </row>
    <row r="92" customFormat="false" ht="15" hidden="false" customHeight="true" outlineLevel="0" collapsed="false">
      <c r="A92" s="8" t="s">
        <v>1004</v>
      </c>
      <c r="B92" s="14" t="n">
        <v>47015.0279445623</v>
      </c>
      <c r="C92" s="12" t="n">
        <v>0.22481656083433</v>
      </c>
      <c r="D92" s="12" t="n">
        <v>0.22481656083433</v>
      </c>
      <c r="E92" s="12" t="n">
        <v>0</v>
      </c>
      <c r="F92" s="8" t="str">
        <f aca="false">IF(0.65&gt;=C92,"YES","NO")</f>
        <v>YES</v>
      </c>
      <c r="J92" s="17" t="s">
        <v>1005</v>
      </c>
    </row>
    <row r="93" customFormat="false" ht="15" hidden="false" customHeight="true" outlineLevel="0" collapsed="false">
      <c r="A93" s="8" t="s">
        <v>1006</v>
      </c>
      <c r="B93" s="14" t="n">
        <v>47015.0279445623</v>
      </c>
      <c r="C93" s="12" t="n">
        <v>1</v>
      </c>
      <c r="D93" s="12" t="n">
        <v>0.127296575456156</v>
      </c>
      <c r="E93" s="12" t="n">
        <v>0.00782216957614403</v>
      </c>
      <c r="F93" s="8" t="str">
        <f aca="false">IF(0.65&gt;=C93,"YES","NO")</f>
        <v>NO</v>
      </c>
    </row>
    <row r="94" customFormat="false" ht="15" hidden="false" customHeight="false" outlineLevel="0" collapsed="false">
      <c r="A94" s="8" t="s">
        <v>1007</v>
      </c>
      <c r="B94" s="14" t="n">
        <v>13765.0279445623</v>
      </c>
      <c r="C94" s="12" t="n">
        <v>0.603666895909239</v>
      </c>
      <c r="D94" s="12" t="n">
        <v>0</v>
      </c>
      <c r="E94" s="12" t="n">
        <v>0</v>
      </c>
      <c r="F94" s="8" t="str">
        <f aca="false">IF(0.65&gt;=C94,"YES","NO")</f>
        <v>YES</v>
      </c>
    </row>
    <row r="96" customFormat="false" ht="15" hidden="false" customHeight="true" outlineLevel="0" collapsed="false">
      <c r="A96" s="5" t="s">
        <v>1008</v>
      </c>
      <c r="B96" s="5"/>
      <c r="C96" s="5"/>
      <c r="D96" s="5"/>
      <c r="E96" s="5"/>
      <c r="F96" s="5"/>
      <c r="G96" s="5"/>
      <c r="H96" s="5"/>
      <c r="I96" s="5"/>
      <c r="J96" s="5"/>
    </row>
    <row r="97" customFormat="false" ht="15" hidden="false" customHeight="true" outlineLevel="0" collapsed="false">
      <c r="A97" s="47" t="s">
        <v>962</v>
      </c>
      <c r="B97" s="47" t="s">
        <v>1009</v>
      </c>
      <c r="C97" s="47" t="s">
        <v>1010</v>
      </c>
      <c r="D97" s="47" t="s">
        <v>1011</v>
      </c>
      <c r="E97" s="47"/>
      <c r="F97" s="47"/>
      <c r="G97" s="47"/>
      <c r="H97" s="47"/>
      <c r="I97" s="47"/>
      <c r="J97" s="47" t="s">
        <v>1012</v>
      </c>
    </row>
    <row r="98" customFormat="false" ht="15" hidden="false" customHeight="true" outlineLevel="0" collapsed="false">
      <c r="A98" s="8" t="s">
        <v>1013</v>
      </c>
      <c r="B98" s="12" t="n">
        <v>0.303466962022985</v>
      </c>
      <c r="C98" s="12" t="n">
        <v>0.520283571742638</v>
      </c>
      <c r="D98" s="42" t="n">
        <f aca="false">C98-B98</f>
        <v>0.216816609719653</v>
      </c>
      <c r="J98" s="17" t="s">
        <v>1014</v>
      </c>
    </row>
    <row r="99" customFormat="false" ht="15" hidden="false" customHeight="true" outlineLevel="0" collapsed="false">
      <c r="A99" s="8" t="s">
        <v>1015</v>
      </c>
      <c r="C99" s="12" t="n">
        <v>0.580365282869771</v>
      </c>
      <c r="J99" s="17" t="s">
        <v>1016</v>
      </c>
    </row>
    <row r="100" customFormat="false" ht="15" hidden="false" customHeight="true" outlineLevel="0" collapsed="false">
      <c r="A100" s="8" t="s">
        <v>1017</v>
      </c>
      <c r="C100" s="12" t="n">
        <v>0.282568975543982</v>
      </c>
      <c r="J100" s="17" t="s">
        <v>1018</v>
      </c>
    </row>
    <row r="101" customFormat="false" ht="15" hidden="false" customHeight="true" outlineLevel="0" collapsed="false">
      <c r="A101" s="8" t="s">
        <v>1019</v>
      </c>
      <c r="B101" s="12" t="n">
        <v>0.309866623967495</v>
      </c>
      <c r="C101" s="12" t="n">
        <v>0.538252359001924</v>
      </c>
      <c r="D101" s="42" t="n">
        <f aca="false">C101-B101</f>
        <v>0.228385735034429</v>
      </c>
      <c r="J101" s="17" t="s">
        <v>1020</v>
      </c>
    </row>
    <row r="102" customFormat="false" ht="15" hidden="false" customHeight="true" outlineLevel="0" collapsed="false">
      <c r="A102" s="8" t="s">
        <v>1021</v>
      </c>
      <c r="B102" s="14" t="n">
        <v>-56511</v>
      </c>
      <c r="C102" s="14" t="n">
        <v>-45011</v>
      </c>
      <c r="D102" s="16" t="n">
        <f aca="false">C102-B102</f>
        <v>11500</v>
      </c>
      <c r="J102" s="17" t="s">
        <v>1022</v>
      </c>
    </row>
    <row r="103" customFormat="false" ht="15" hidden="false" customHeight="true" outlineLevel="0" collapsed="false">
      <c r="A103" s="8" t="s">
        <v>1023</v>
      </c>
      <c r="B103" s="14" t="n">
        <v>6558</v>
      </c>
      <c r="C103" s="14" t="n">
        <v>36558</v>
      </c>
      <c r="D103" s="16" t="n">
        <f aca="false">C103-B103</f>
        <v>30000</v>
      </c>
      <c r="J103" s="17" t="s">
        <v>1024</v>
      </c>
    </row>
    <row r="104" customFormat="false" ht="15" hidden="false" customHeight="true" outlineLevel="0" collapsed="false">
      <c r="A104" s="8" t="s">
        <v>1025</v>
      </c>
      <c r="B104" s="14" t="n">
        <v>58085.3973329714</v>
      </c>
      <c r="C104" s="14" t="n">
        <v>99585.397</v>
      </c>
      <c r="D104" s="16" t="n">
        <f aca="false">C104-B104</f>
        <v>41499.9996670286</v>
      </c>
      <c r="J104" s="17" t="s">
        <v>1026</v>
      </c>
    </row>
    <row r="105" customFormat="false" ht="15" hidden="false" customHeight="true" outlineLevel="0" collapsed="false">
      <c r="A105" s="8" t="s">
        <v>1027</v>
      </c>
      <c r="J105" s="17" t="s">
        <v>1028</v>
      </c>
    </row>
    <row r="106" customFormat="false" ht="15" hidden="false" customHeight="true" outlineLevel="0" collapsed="false">
      <c r="A106" s="8" t="s">
        <v>1029</v>
      </c>
      <c r="B106" s="14" t="n">
        <v>94951.8395268994</v>
      </c>
      <c r="C106" s="14" t="n">
        <v>63695.5083057394</v>
      </c>
      <c r="D106" s="16" t="n">
        <f aca="false">C106-B106</f>
        <v>-31256.33122116</v>
      </c>
      <c r="J106" s="17" t="s">
        <v>1030</v>
      </c>
    </row>
    <row r="107" customFormat="false" ht="15" hidden="false" customHeight="true" outlineLevel="0" collapsed="false">
      <c r="A107" s="8" t="s">
        <v>1031</v>
      </c>
      <c r="B107" s="76" t="n">
        <v>-0.165085356519526</v>
      </c>
      <c r="C107" s="76" t="n">
        <v>-2.88419691133495</v>
      </c>
      <c r="D107" s="74" t="n">
        <f aca="false">C107-B107</f>
        <v>-2.71911155481542</v>
      </c>
      <c r="J107" s="17" t="s">
        <v>1032</v>
      </c>
    </row>
    <row r="108" customFormat="false" ht="15" hidden="false" customHeight="true" outlineLevel="0" collapsed="false">
      <c r="A108" s="8" t="s">
        <v>1033</v>
      </c>
      <c r="B108" s="14" t="n">
        <v>0</v>
      </c>
      <c r="C108" s="14" t="n">
        <v>22076</v>
      </c>
      <c r="D108" s="16" t="n">
        <f aca="false">C108-B108</f>
        <v>22076</v>
      </c>
      <c r="J108" s="17" t="s">
        <v>1034</v>
      </c>
    </row>
    <row r="109" customFormat="false" ht="15" hidden="false" customHeight="true" outlineLevel="0" collapsed="false">
      <c r="A109" s="8" t="s">
        <v>1035</v>
      </c>
      <c r="B109" s="63" t="n">
        <v>9.3290533464192</v>
      </c>
      <c r="C109" s="63" t="n">
        <v>9.25151718224447</v>
      </c>
      <c r="D109" s="62" t="n">
        <f aca="false">C109-B109</f>
        <v>-0.0775361641747292</v>
      </c>
      <c r="J109" s="17" t="s">
        <v>1034</v>
      </c>
    </row>
    <row r="110" customFormat="false" ht="15" hidden="false" customHeight="true" outlineLevel="0" collapsed="false">
      <c r="A110" s="8" t="s">
        <v>1036</v>
      </c>
      <c r="J110" s="17" t="s">
        <v>1037</v>
      </c>
    </row>
    <row r="111" customFormat="false" ht="15" hidden="false" customHeight="true" outlineLevel="0" collapsed="false">
      <c r="A111" s="8" t="s">
        <v>1038</v>
      </c>
      <c r="J111" s="17" t="s">
        <v>1039</v>
      </c>
    </row>
    <row r="112" customFormat="false" ht="15" hidden="false" customHeight="true" outlineLevel="0" collapsed="false">
      <c r="A112" s="8" t="s">
        <v>1040</v>
      </c>
      <c r="J112" s="17" t="s">
        <v>1041</v>
      </c>
    </row>
    <row r="113" customFormat="false" ht="15" hidden="false" customHeight="true" outlineLevel="0" collapsed="false">
      <c r="A113" s="8" t="s">
        <v>1042</v>
      </c>
      <c r="J113" s="17" t="s">
        <v>1043</v>
      </c>
    </row>
    <row r="114" customFormat="false" ht="15" hidden="false" customHeight="true" outlineLevel="0" collapsed="false">
      <c r="A114" s="8" t="s">
        <v>1044</v>
      </c>
      <c r="J114" s="17" t="s">
        <v>1045</v>
      </c>
    </row>
    <row r="115" customFormat="false" ht="15" hidden="false" customHeight="true" outlineLevel="0" collapsed="false">
      <c r="A115" s="8" t="s">
        <v>1046</v>
      </c>
      <c r="C115" s="14" t="n">
        <v>14190.1310238892</v>
      </c>
      <c r="J115" s="17" t="s">
        <v>1047</v>
      </c>
    </row>
    <row r="116" customFormat="false" ht="15" hidden="false" customHeight="true" outlineLevel="0" collapsed="false">
      <c r="A116" s="8" t="s">
        <v>1048</v>
      </c>
      <c r="B116" s="12" t="n">
        <v>0.520585834242665</v>
      </c>
      <c r="C116" s="12" t="n">
        <v>0.737402443962318</v>
      </c>
      <c r="D116" s="42" t="n">
        <f aca="false">C116-B116</f>
        <v>0.216816609719653</v>
      </c>
      <c r="J116" s="17" t="s">
        <v>1049</v>
      </c>
    </row>
    <row r="117" customFormat="false" ht="15" hidden="false" customHeight="true" outlineLevel="0" collapsed="false">
      <c r="A117" s="8" t="s">
        <v>1050</v>
      </c>
      <c r="B117" s="12" t="n">
        <v>0.158733227641747</v>
      </c>
      <c r="C117" s="12" t="n">
        <v>0.375549837361401</v>
      </c>
      <c r="D117" s="42" t="n">
        <f aca="false">C117-B117</f>
        <v>0.216816609719654</v>
      </c>
      <c r="J117" s="17" t="s">
        <v>1049</v>
      </c>
    </row>
    <row r="118" customFormat="false" ht="15" hidden="false" customHeight="true" outlineLevel="0" collapsed="false">
      <c r="A118" s="8" t="s">
        <v>1051</v>
      </c>
      <c r="B118" s="12" t="n">
        <v>0</v>
      </c>
      <c r="C118" s="12" t="n">
        <v>0.192826076461676</v>
      </c>
      <c r="D118" s="42" t="n">
        <f aca="false">C118-B118</f>
        <v>0.192826076461676</v>
      </c>
      <c r="J118" s="17" t="s">
        <v>1052</v>
      </c>
    </row>
    <row r="119" customFormat="false" ht="15" hidden="false" customHeight="true" outlineLevel="0" collapsed="false">
      <c r="A119" s="8" t="s">
        <v>1053</v>
      </c>
      <c r="C119" s="12" t="n">
        <v>0.213932369310216</v>
      </c>
      <c r="J119" s="17" t="s">
        <v>1054</v>
      </c>
    </row>
    <row r="120" customFormat="false" ht="15" hidden="false" customHeight="true" outlineLevel="0" collapsed="false">
      <c r="A120" s="8" t="s">
        <v>1055</v>
      </c>
      <c r="C120" s="14" t="n">
        <v>125</v>
      </c>
      <c r="J120" s="17" t="s">
        <v>1056</v>
      </c>
    </row>
    <row r="121" customFormat="false" ht="15" hidden="false" customHeight="true" outlineLevel="0" collapsed="false">
      <c r="A121" s="8" t="s">
        <v>1057</v>
      </c>
      <c r="C121" s="14" t="n">
        <v>1925</v>
      </c>
      <c r="J121" s="17" t="s">
        <v>1058</v>
      </c>
    </row>
    <row r="122" customFormat="false" ht="15" hidden="false" customHeight="true" outlineLevel="0" collapsed="false">
      <c r="A122" s="8" t="s">
        <v>1059</v>
      </c>
      <c r="C122" s="14" t="n">
        <v>53906.25</v>
      </c>
      <c r="J122" s="17" t="s">
        <v>1060</v>
      </c>
    </row>
    <row r="123" customFormat="false" ht="15" hidden="false" customHeight="true" outlineLevel="0" collapsed="false">
      <c r="A123" s="8" t="s">
        <v>1061</v>
      </c>
      <c r="J123" s="17" t="s">
        <v>1062</v>
      </c>
    </row>
    <row r="125" customFormat="false" ht="15" hidden="false" customHeight="false" outlineLevel="0" collapsed="false">
      <c r="A125" s="33" t="s">
        <v>1063</v>
      </c>
      <c r="B125" s="33"/>
      <c r="C125" s="33"/>
      <c r="D125" s="33"/>
      <c r="E125" s="33"/>
      <c r="F125" s="33"/>
      <c r="G125" s="33"/>
      <c r="H125" s="33"/>
      <c r="I125" s="33"/>
      <c r="J125" s="33"/>
    </row>
    <row r="126" customFormat="false" ht="15" hidden="false" customHeight="false" outlineLevel="0" collapsed="false">
      <c r="A126" s="34" t="s">
        <v>1064</v>
      </c>
      <c r="B126" s="34" t="s">
        <v>1065</v>
      </c>
      <c r="C126" s="34" t="s">
        <v>1066</v>
      </c>
      <c r="D126" s="34" t="s">
        <v>1011</v>
      </c>
      <c r="E126" s="34"/>
      <c r="F126" s="34"/>
      <c r="G126" s="34"/>
      <c r="H126" s="34"/>
      <c r="I126" s="34"/>
      <c r="J126" s="34" t="s">
        <v>1067</v>
      </c>
    </row>
    <row r="127" customFormat="false" ht="15" hidden="false" customHeight="false" outlineLevel="0" collapsed="false">
      <c r="A127" s="34" t="s">
        <v>1068</v>
      </c>
      <c r="B127" s="34"/>
      <c r="C127" s="34"/>
      <c r="D127" s="34"/>
      <c r="E127" s="34"/>
      <c r="F127" s="34"/>
      <c r="G127" s="34"/>
      <c r="H127" s="34"/>
      <c r="I127" s="34"/>
      <c r="J127" s="34"/>
    </row>
    <row r="128" customFormat="false" ht="15" hidden="false" customHeight="false" outlineLevel="0" collapsed="false">
      <c r="A128" s="28" t="s">
        <v>1069</v>
      </c>
      <c r="B128" s="77" t="n">
        <v>127360</v>
      </c>
      <c r="C128" s="77" t="n">
        <v>130299</v>
      </c>
      <c r="D128" s="36" t="n">
        <f aca="false">IF(AND(ISNUMBER(B128),ISNUMBER(C128)),C128-B128,"")</f>
        <v>2939</v>
      </c>
      <c r="J128" s="51" t="s">
        <v>1070</v>
      </c>
    </row>
    <row r="129" customFormat="false" ht="15" hidden="false" customHeight="false" outlineLevel="0" collapsed="false">
      <c r="A129" s="28" t="s">
        <v>1071</v>
      </c>
      <c r="B129" s="77" t="n">
        <v>25254</v>
      </c>
      <c r="C129" s="77" t="n">
        <v>25759</v>
      </c>
      <c r="D129" s="36" t="n">
        <f aca="false">IF(AND(ISNUMBER(B129),ISNUMBER(C129)),C129-B129,"")</f>
        <v>505</v>
      </c>
      <c r="J129" s="51" t="s">
        <v>1072</v>
      </c>
    </row>
    <row r="130" customFormat="false" ht="15" hidden="false" customHeight="false" outlineLevel="0" collapsed="false">
      <c r="A130" s="28" t="s">
        <v>1073</v>
      </c>
      <c r="B130" s="53" t="n">
        <v>14.9</v>
      </c>
      <c r="C130" s="53" t="n">
        <v>12.64</v>
      </c>
      <c r="D130" s="35" t="n">
        <f aca="false">IF(AND(ISNUMBER(B130),ISNUMBER(C130)),C130-B130,"")</f>
        <v>-2.26</v>
      </c>
      <c r="J130" s="51" t="s">
        <v>1074</v>
      </c>
    </row>
    <row r="131" customFormat="false" ht="15" hidden="false" customHeight="false" outlineLevel="0" collapsed="false">
      <c r="A131" s="28" t="s">
        <v>1075</v>
      </c>
      <c r="B131" s="77" t="n">
        <v>153630</v>
      </c>
      <c r="C131" s="77" t="n">
        <v>136945.6</v>
      </c>
      <c r="D131" s="36" t="n">
        <f aca="false">IF(AND(ISNUMBER(B131),ISNUMBER(C131)),C131-B131,"")</f>
        <v>-16684.4</v>
      </c>
      <c r="J131" s="51" t="s">
        <v>1076</v>
      </c>
    </row>
    <row r="132" customFormat="false" ht="15" hidden="false" customHeight="false" outlineLevel="0" collapsed="false">
      <c r="A132" s="28" t="s">
        <v>1077</v>
      </c>
      <c r="B132" s="77" t="n">
        <v>10310.7382550336</v>
      </c>
      <c r="C132" s="77" t="n">
        <v>10834.3037974684</v>
      </c>
      <c r="D132" s="36" t="n">
        <f aca="false">IF(AND(ISNUMBER(B132),ISNUMBER(C132)),C132-B132,"")</f>
        <v>523.56554243479</v>
      </c>
      <c r="J132" s="51" t="s">
        <v>1078</v>
      </c>
    </row>
    <row r="133" customFormat="false" ht="15" hidden="false" customHeight="false" outlineLevel="0" collapsed="false">
      <c r="A133" s="28" t="s">
        <v>1079</v>
      </c>
      <c r="B133" s="77" t="n">
        <v>209125</v>
      </c>
      <c r="C133" s="77" t="n">
        <v>212569</v>
      </c>
      <c r="D133" s="36" t="n">
        <f aca="false">IF(AND(ISNUMBER(B133),ISNUMBER(C133)),C133-B133,"")</f>
        <v>3444</v>
      </c>
      <c r="J133" s="51" t="s">
        <v>1080</v>
      </c>
    </row>
    <row r="134" customFormat="false" ht="15" hidden="false" customHeight="false" outlineLevel="0" collapsed="false">
      <c r="A134" s="28" t="s">
        <v>1081</v>
      </c>
      <c r="B134" s="77" t="n">
        <v>247917</v>
      </c>
      <c r="C134" s="77" t="n">
        <v>250856</v>
      </c>
      <c r="D134" s="36" t="n">
        <f aca="false">IF(AND(ISNUMBER(B134),ISNUMBER(C134)),C134-B134,"")</f>
        <v>2939</v>
      </c>
      <c r="J134" s="51" t="s">
        <v>1082</v>
      </c>
    </row>
    <row r="135" customFormat="false" ht="15" hidden="false" customHeight="false" outlineLevel="0" collapsed="false">
      <c r="A135" s="28" t="s">
        <v>1083</v>
      </c>
      <c r="B135" s="50" t="n">
        <v>0.06</v>
      </c>
      <c r="C135" s="50" t="n">
        <v>0.105</v>
      </c>
      <c r="D135" s="38" t="n">
        <f aca="false">IF(AND(ISNUMBER(B135),ISNUMBER(C135)),C135-B135,"")</f>
        <v>0.045</v>
      </c>
      <c r="J135" s="51" t="s">
        <v>1084</v>
      </c>
    </row>
    <row r="136" customFormat="false" ht="15" hidden="false" customHeight="false" outlineLevel="0" collapsed="false">
      <c r="A136" s="28" t="s">
        <v>1085</v>
      </c>
      <c r="B136" s="50" t="n">
        <v>0.17</v>
      </c>
      <c r="C136" s="50" t="n">
        <v>0.215</v>
      </c>
      <c r="D136" s="38" t="n">
        <f aca="false">IF(AND(ISNUMBER(B136),ISNUMBER(C136)),C136-B136,"")</f>
        <v>0.045</v>
      </c>
      <c r="J136" s="51" t="s">
        <v>1086</v>
      </c>
    </row>
    <row r="137" customFormat="false" ht="15" hidden="false" customHeight="false" outlineLevel="0" collapsed="false">
      <c r="A137" s="28" t="s">
        <v>1087</v>
      </c>
      <c r="B137" s="50" t="n">
        <v>0.524</v>
      </c>
      <c r="C137" s="50" t="n">
        <v>0.569</v>
      </c>
      <c r="D137" s="38" t="n">
        <f aca="false">IF(AND(ISNUMBER(B137),ISNUMBER(C137)),C137-B137,"")</f>
        <v>0.0449999999999999</v>
      </c>
      <c r="J137" s="51" t="s">
        <v>1088</v>
      </c>
    </row>
    <row r="138" customFormat="false" ht="15" hidden="false" customHeight="false" outlineLevel="0" collapsed="false">
      <c r="A138" s="28" t="s">
        <v>1089</v>
      </c>
      <c r="B138" s="77" t="n">
        <v>1</v>
      </c>
      <c r="C138" s="77" t="n">
        <v>0</v>
      </c>
      <c r="D138" s="36" t="n">
        <f aca="false">IF(AND(ISNUMBER(B138),ISNUMBER(C138)),C138-B138,"")</f>
        <v>-1</v>
      </c>
      <c r="J138" s="51" t="s">
        <v>1090</v>
      </c>
    </row>
    <row r="139" customFormat="false" ht="15" hidden="false" customHeight="false" outlineLevel="0" collapsed="false">
      <c r="A139" s="34" t="s">
        <v>1091</v>
      </c>
      <c r="B139" s="34"/>
      <c r="C139" s="34"/>
      <c r="D139" s="34"/>
      <c r="E139" s="34"/>
      <c r="F139" s="34"/>
      <c r="G139" s="34"/>
      <c r="H139" s="34"/>
      <c r="I139" s="34"/>
      <c r="J139" s="34"/>
    </row>
    <row r="140" customFormat="false" ht="15" hidden="false" customHeight="false" outlineLevel="0" collapsed="false">
      <c r="A140" s="28" t="s">
        <v>1092</v>
      </c>
      <c r="B140" s="51" t="s">
        <v>1093</v>
      </c>
      <c r="C140" s="51" t="s">
        <v>1094</v>
      </c>
      <c r="J140" s="51" t="s">
        <v>1095</v>
      </c>
    </row>
    <row r="141" customFormat="false" ht="15" hidden="false" customHeight="false" outlineLevel="0" collapsed="false">
      <c r="A141" s="28" t="s">
        <v>1096</v>
      </c>
      <c r="B141" s="51" t="s">
        <v>1093</v>
      </c>
      <c r="C141" s="51" t="s">
        <v>1094</v>
      </c>
      <c r="J141" s="51" t="s">
        <v>1097</v>
      </c>
    </row>
    <row r="142" customFormat="false" ht="15" hidden="false" customHeight="false" outlineLevel="0" collapsed="false">
      <c r="A142" s="28" t="s">
        <v>1098</v>
      </c>
      <c r="B142" s="51" t="s">
        <v>1093</v>
      </c>
      <c r="C142" s="51" t="s">
        <v>1094</v>
      </c>
      <c r="J142" s="51" t="s">
        <v>1099</v>
      </c>
    </row>
    <row r="143" customFormat="false" ht="15" hidden="false" customHeight="false" outlineLevel="0" collapsed="false">
      <c r="A143" s="28" t="s">
        <v>1100</v>
      </c>
      <c r="B143" s="51" t="s">
        <v>1093</v>
      </c>
      <c r="C143" s="51" t="s">
        <v>1094</v>
      </c>
      <c r="J143" s="51" t="s">
        <v>1101</v>
      </c>
    </row>
    <row r="144" customFormat="false" ht="15" hidden="false" customHeight="false" outlineLevel="0" collapsed="false">
      <c r="A144" s="28" t="s">
        <v>1102</v>
      </c>
      <c r="B144" s="51" t="s">
        <v>1093</v>
      </c>
      <c r="C144" s="51" t="s">
        <v>1094</v>
      </c>
      <c r="J144" s="51" t="s">
        <v>1103</v>
      </c>
    </row>
    <row r="145" customFormat="false" ht="15" hidden="false" customHeight="false" outlineLevel="0" collapsed="false">
      <c r="A145" s="28" t="s">
        <v>1104</v>
      </c>
      <c r="B145" s="51" t="s">
        <v>1093</v>
      </c>
      <c r="C145" s="51" t="s">
        <v>1094</v>
      </c>
      <c r="J145" s="51" t="s">
        <v>1105</v>
      </c>
    </row>
    <row r="146" customFormat="false" ht="15" hidden="false" customHeight="false" outlineLevel="0" collapsed="false">
      <c r="A146" s="28" t="s">
        <v>1106</v>
      </c>
      <c r="B146" s="51" t="s">
        <v>1093</v>
      </c>
      <c r="C146" s="51" t="s">
        <v>1094</v>
      </c>
      <c r="J146" s="51" t="s">
        <v>1107</v>
      </c>
    </row>
    <row r="147" customFormat="false" ht="15" hidden="false" customHeight="false" outlineLevel="0" collapsed="false">
      <c r="A147" s="28" t="s">
        <v>1108</v>
      </c>
      <c r="B147" s="51" t="s">
        <v>1093</v>
      </c>
      <c r="C147" s="51" t="s">
        <v>1094</v>
      </c>
      <c r="J147" s="51" t="s">
        <v>1109</v>
      </c>
    </row>
    <row r="148" customFormat="false" ht="15" hidden="false" customHeight="false" outlineLevel="0" collapsed="false">
      <c r="A148" s="28" t="s">
        <v>1110</v>
      </c>
      <c r="B148" s="51" t="s">
        <v>1093</v>
      </c>
      <c r="C148" s="51" t="s">
        <v>1094</v>
      </c>
      <c r="J148" s="51" t="s">
        <v>1111</v>
      </c>
    </row>
    <row r="149" customFormat="false" ht="15" hidden="false" customHeight="false" outlineLevel="0" collapsed="false">
      <c r="A149" s="28" t="s">
        <v>1112</v>
      </c>
      <c r="B149" s="51" t="s">
        <v>1093</v>
      </c>
      <c r="C149" s="51" t="s">
        <v>1094</v>
      </c>
      <c r="J149" s="51" t="s">
        <v>1113</v>
      </c>
    </row>
    <row r="150" customFormat="false" ht="15" hidden="false" customHeight="false" outlineLevel="0" collapsed="false">
      <c r="A150" s="28" t="s">
        <v>1114</v>
      </c>
      <c r="B150" s="51" t="s">
        <v>1093</v>
      </c>
      <c r="C150" s="51" t="s">
        <v>1094</v>
      </c>
      <c r="J150" s="51" t="s">
        <v>1115</v>
      </c>
    </row>
    <row r="151" customFormat="false" ht="15" hidden="false" customHeight="false" outlineLevel="0" collapsed="false">
      <c r="A151" s="34" t="s">
        <v>1116</v>
      </c>
      <c r="B151" s="34"/>
      <c r="C151" s="34"/>
      <c r="D151" s="34"/>
      <c r="E151" s="34"/>
      <c r="F151" s="34"/>
      <c r="G151" s="34"/>
      <c r="H151" s="34"/>
      <c r="I151" s="34"/>
      <c r="J151" s="34"/>
    </row>
    <row r="152" customFormat="false" ht="15" hidden="false" customHeight="false" outlineLevel="0" collapsed="false">
      <c r="A152" s="28" t="s">
        <v>173</v>
      </c>
      <c r="B152" s="77" t="n">
        <v>3425.13102388923</v>
      </c>
      <c r="C152" s="77" t="n">
        <v>3000.02794456231</v>
      </c>
      <c r="D152" s="36" t="n">
        <f aca="false">IF(AND(ISNUMBER(B152),ISNUMBER(C152)),C152-B152,"")</f>
        <v>-425.10307932692</v>
      </c>
      <c r="J152" s="51" t="s">
        <v>1117</v>
      </c>
    </row>
    <row r="153" customFormat="false" ht="15" hidden="false" customHeight="false" outlineLevel="0" collapsed="false">
      <c r="A153" s="28" t="s">
        <v>966</v>
      </c>
      <c r="B153" s="77" t="n">
        <v>3</v>
      </c>
      <c r="C153" s="77" t="n">
        <v>5</v>
      </c>
      <c r="D153" s="36" t="n">
        <f aca="false">IF(AND(ISNUMBER(B153),ISNUMBER(C153)),C153-B153,"")</f>
        <v>2</v>
      </c>
      <c r="J153" s="51" t="s">
        <v>1118</v>
      </c>
    </row>
    <row r="154" customFormat="false" ht="15" hidden="false" customHeight="false" outlineLevel="0" collapsed="false">
      <c r="A154" s="28" t="s">
        <v>175</v>
      </c>
      <c r="B154" s="77" t="n">
        <v>10</v>
      </c>
      <c r="C154" s="77" t="n">
        <v>5</v>
      </c>
      <c r="D154" s="36" t="n">
        <f aca="false">IF(AND(ISNUMBER(B154),ISNUMBER(C154)),C154-B154,"")</f>
        <v>-5</v>
      </c>
      <c r="J154" s="51" t="s">
        <v>1119</v>
      </c>
    </row>
    <row r="155" customFormat="false" ht="15" hidden="false" customHeight="false" outlineLevel="0" collapsed="false">
      <c r="A155" s="28" t="s">
        <v>178</v>
      </c>
      <c r="B155" s="77" t="n">
        <v>41483.5</v>
      </c>
      <c r="C155" s="77" t="n">
        <v>42071.3</v>
      </c>
      <c r="D155" s="36" t="n">
        <f aca="false">IF(AND(ISNUMBER(B155),ISNUMBER(C155)),C155-B155,"")</f>
        <v>587.800000000003</v>
      </c>
      <c r="J155" s="51" t="s">
        <v>1120</v>
      </c>
    </row>
    <row r="156" customFormat="false" ht="15" hidden="false" customHeight="false" outlineLevel="0" collapsed="false">
      <c r="A156" s="28" t="s">
        <v>968</v>
      </c>
      <c r="B156" s="77" t="n">
        <v>70831</v>
      </c>
      <c r="C156" s="77" t="n">
        <v>70831</v>
      </c>
      <c r="D156" s="36" t="n">
        <f aca="false">IF(AND(ISNUMBER(B156),ISNUMBER(C156)),C156-B156,"")</f>
        <v>0</v>
      </c>
      <c r="J156" s="51" t="s">
        <v>1121</v>
      </c>
    </row>
    <row r="157" customFormat="false" ht="15" hidden="false" customHeight="false" outlineLevel="0" collapsed="false">
      <c r="A157" s="28" t="s">
        <v>971</v>
      </c>
      <c r="B157" s="50" t="n">
        <v>0.585621553701131</v>
      </c>
      <c r="C157" s="50" t="n">
        <v>0.584040395011661</v>
      </c>
      <c r="D157" s="38" t="n">
        <f aca="false">IF(AND(ISNUMBER(B157),ISNUMBER(C157)),C157-B157,"")</f>
        <v>-0.00158115868946995</v>
      </c>
      <c r="J157" s="51" t="s">
        <v>1122</v>
      </c>
    </row>
    <row r="158" customFormat="false" ht="15" hidden="false" customHeight="false" outlineLevel="0" collapsed="false">
      <c r="A158" s="28" t="s">
        <v>972</v>
      </c>
      <c r="B158" s="77" t="n">
        <v>108038.397332971</v>
      </c>
      <c r="C158" s="77" t="n">
        <v>108038.397332971</v>
      </c>
      <c r="D158" s="36" t="n">
        <f aca="false">IF(AND(ISNUMBER(B158),ISNUMBER(C158)),C158-B158,"")</f>
        <v>0</v>
      </c>
      <c r="J158" s="51" t="s">
        <v>1123</v>
      </c>
    </row>
    <row r="159" customFormat="false" ht="15" hidden="false" customHeight="false" outlineLevel="0" collapsed="false">
      <c r="A159" s="28" t="s">
        <v>973</v>
      </c>
      <c r="B159" s="77" t="n">
        <v>47440.1310238892</v>
      </c>
      <c r="C159" s="77" t="n">
        <v>47015.0279445623</v>
      </c>
      <c r="D159" s="36" t="n">
        <f aca="false">IF(AND(ISNUMBER(B159),ISNUMBER(C159)),C159-B159,"")</f>
        <v>-425.103079326895</v>
      </c>
      <c r="J159" s="51" t="s">
        <v>1124</v>
      </c>
    </row>
    <row r="160" customFormat="false" ht="15" hidden="false" customHeight="false" outlineLevel="0" collapsed="false">
      <c r="A160" s="28" t="s">
        <v>974</v>
      </c>
      <c r="B160" s="50" t="n">
        <v>0.580365282869771</v>
      </c>
      <c r="C160" s="50" t="n">
        <v>0.571588655910733</v>
      </c>
      <c r="D160" s="38" t="n">
        <f aca="false">IF(AND(ISNUMBER(B160),ISNUMBER(C160)),C160-B160,"")</f>
        <v>-0.00877662695903791</v>
      </c>
      <c r="J160" s="51" t="s">
        <v>1125</v>
      </c>
    </row>
    <row r="161" customFormat="false" ht="15" hidden="false" customHeight="false" outlineLevel="0" collapsed="false">
      <c r="A161" s="28" t="s">
        <v>1126</v>
      </c>
      <c r="B161" s="50" t="n">
        <v>0.520283571742638</v>
      </c>
      <c r="C161" s="50" t="n">
        <v>0.512415535943664</v>
      </c>
      <c r="D161" s="38" t="n">
        <f aca="false">IF(AND(ISNUMBER(B161),ISNUMBER(C161)),C161-B161,"")</f>
        <v>-0.00786803579897399</v>
      </c>
      <c r="J161" s="51" t="s">
        <v>1127</v>
      </c>
    </row>
    <row r="162" customFormat="false" ht="15" hidden="false" customHeight="false" outlineLevel="0" collapsed="false">
      <c r="A162" s="28" t="s">
        <v>977</v>
      </c>
      <c r="B162" s="50" t="n">
        <v>0.282568975543982</v>
      </c>
      <c r="C162" s="50" t="n">
        <v>0.278295800421783</v>
      </c>
      <c r="D162" s="38" t="n">
        <f aca="false">IF(AND(ISNUMBER(B162),ISNUMBER(C162)),C162-B162,"")</f>
        <v>-0.00427317512219905</v>
      </c>
      <c r="J162" s="51" t="s">
        <v>1127</v>
      </c>
    </row>
    <row r="163" customFormat="false" ht="15" hidden="false" customHeight="false" outlineLevel="0" collapsed="false">
      <c r="A163" s="28" t="s">
        <v>1128</v>
      </c>
      <c r="B163" s="50" t="n">
        <v>0.130910717263797</v>
      </c>
      <c r="C163" s="50" t="n">
        <v>0.18621234168671</v>
      </c>
      <c r="D163" s="38" t="n">
        <f aca="false">IF(AND(ISNUMBER(B163),ISNUMBER(C163)),C163-B163,"")</f>
        <v>0.055301624422913</v>
      </c>
      <c r="J163" s="51" t="s">
        <v>1129</v>
      </c>
    </row>
    <row r="164" customFormat="false" ht="15" hidden="false" customHeight="false" outlineLevel="0" collapsed="false">
      <c r="A164" s="28" t="s">
        <v>970</v>
      </c>
      <c r="B164" s="78" t="n">
        <v>-0.770602933776791</v>
      </c>
      <c r="C164" s="78" t="n">
        <v>-0.770602933776791</v>
      </c>
      <c r="D164" s="79" t="n">
        <f aca="false">IF(AND(ISNUMBER(B164),ISNUMBER(C164)),C164-B164,"")</f>
        <v>0</v>
      </c>
      <c r="J164" s="51" t="s">
        <v>1130</v>
      </c>
    </row>
    <row r="165" customFormat="false" ht="15" hidden="false" customHeight="false" outlineLevel="0" collapsed="false">
      <c r="A165" s="28" t="s">
        <v>969</v>
      </c>
      <c r="B165" s="77" t="n">
        <v>0</v>
      </c>
      <c r="C165" s="77" t="n">
        <v>0</v>
      </c>
      <c r="D165" s="36" t="n">
        <f aca="false">IF(AND(ISNUMBER(B165),ISNUMBER(C165)),C165-B165,"")</f>
        <v>0</v>
      </c>
      <c r="J165" s="51" t="s">
        <v>1131</v>
      </c>
    </row>
    <row r="166" customFormat="false" ht="15" hidden="false" customHeight="false" outlineLevel="0" collapsed="false">
      <c r="A166" s="28" t="s">
        <v>979</v>
      </c>
      <c r="B166" s="77" t="n">
        <v>29115.5981149132</v>
      </c>
      <c r="C166" s="77" t="n">
        <v>29115.5981149132</v>
      </c>
      <c r="D166" s="36" t="n">
        <f aca="false">IF(AND(ISNUMBER(B166),ISNUMBER(C166)),C166-B166,"")</f>
        <v>0</v>
      </c>
      <c r="J166" s="51" t="s">
        <v>1132</v>
      </c>
    </row>
    <row r="167" customFormat="false" ht="15" hidden="false" customHeight="false" outlineLevel="0" collapsed="false">
      <c r="A167" s="28" t="s">
        <v>1133</v>
      </c>
      <c r="B167" s="78" t="n">
        <v>5.97607673700808</v>
      </c>
      <c r="C167" s="78" t="n">
        <v>6.13995588653453</v>
      </c>
      <c r="D167" s="79" t="n">
        <f aca="false">IF(AND(ISNUMBER(B167),ISNUMBER(C167)),C167-B167,"")</f>
        <v>0.16387914952645</v>
      </c>
      <c r="J167" s="51" t="s">
        <v>1134</v>
      </c>
    </row>
    <row r="168" customFormat="false" ht="15" hidden="false" customHeight="false" outlineLevel="0" collapsed="false">
      <c r="A168" s="34" t="s">
        <v>1135</v>
      </c>
      <c r="B168" s="34"/>
      <c r="C168" s="34"/>
      <c r="D168" s="34"/>
      <c r="E168" s="34"/>
      <c r="F168" s="34"/>
      <c r="G168" s="34"/>
      <c r="H168" s="34"/>
      <c r="I168" s="34"/>
      <c r="J168" s="34"/>
    </row>
    <row r="169" customFormat="false" ht="15" hidden="false" customHeight="false" outlineLevel="0" collapsed="false">
      <c r="A169" s="28" t="s">
        <v>1136</v>
      </c>
      <c r="B169" s="77" t="n">
        <v>3699.78400937159</v>
      </c>
      <c r="C169" s="77" t="n">
        <v>3274.68093004467</v>
      </c>
      <c r="D169" s="36" t="n">
        <f aca="false">IF(AND(ISNUMBER(B169),ISNUMBER(C169)),C169-B169,"")</f>
        <v>-425.10307932692</v>
      </c>
      <c r="J169" s="51" t="s">
        <v>1137</v>
      </c>
    </row>
    <row r="170" customFormat="false" ht="15" hidden="false" customHeight="false" outlineLevel="0" collapsed="false">
      <c r="A170" s="28" t="s">
        <v>1138</v>
      </c>
      <c r="B170" s="77" t="n">
        <v>71499.2329738819</v>
      </c>
      <c r="C170" s="77" t="n">
        <v>71499.2329738819</v>
      </c>
      <c r="D170" s="36" t="n">
        <f aca="false">IF(AND(ISNUMBER(B170),ISNUMBER(C170)),C170-B170,"")</f>
        <v>0</v>
      </c>
      <c r="J170" s="51" t="s">
        <v>1139</v>
      </c>
    </row>
    <row r="171" customFormat="false" ht="15" hidden="false" customHeight="false" outlineLevel="0" collapsed="false">
      <c r="A171" s="28" t="s">
        <v>1140</v>
      </c>
      <c r="B171" s="50" t="n">
        <v>0.538252359001924</v>
      </c>
      <c r="C171" s="50" t="n">
        <v>0.530112588577644</v>
      </c>
      <c r="D171" s="38" t="n">
        <f aca="false">IF(AND(ISNUMBER(B171),ISNUMBER(C171)),C171-B171,"")</f>
        <v>-0.00813977042428005</v>
      </c>
      <c r="J171" s="51" t="s">
        <v>1141</v>
      </c>
    </row>
    <row r="172" customFormat="false" ht="15" hidden="false" customHeight="false" outlineLevel="0" collapsed="false">
      <c r="A172" s="28" t="s">
        <v>1142</v>
      </c>
      <c r="B172" s="50" t="n">
        <v>0.132001524655372</v>
      </c>
      <c r="C172" s="50" t="n">
        <v>0.187291101092523</v>
      </c>
      <c r="D172" s="38" t="n">
        <f aca="false">IF(AND(ISNUMBER(B172),ISNUMBER(C172)),C172-B172,"")</f>
        <v>0.055289576437151</v>
      </c>
      <c r="J172" s="51" t="s">
        <v>1143</v>
      </c>
    </row>
    <row r="173" customFormat="false" ht="15" hidden="false" customHeight="false" outlineLevel="0" collapsed="false">
      <c r="A173" s="28" t="s">
        <v>1144</v>
      </c>
      <c r="B173" s="77" t="n">
        <v>2736.85748976258</v>
      </c>
      <c r="C173" s="77" t="n">
        <v>2311.75441043565</v>
      </c>
      <c r="D173" s="36" t="n">
        <f aca="false">IF(AND(ISNUMBER(B173),ISNUMBER(C173)),C173-B173,"")</f>
        <v>-425.10307932693</v>
      </c>
      <c r="J173" s="51" t="s">
        <v>1137</v>
      </c>
    </row>
    <row r="174" customFormat="false" ht="15" hidden="false" customHeight="false" outlineLevel="0" collapsed="false">
      <c r="A174" s="28" t="s">
        <v>1145</v>
      </c>
      <c r="B174" s="77" t="n">
        <v>63695.5083057394</v>
      </c>
      <c r="C174" s="77" t="n">
        <v>63695.5083057394</v>
      </c>
      <c r="D174" s="36" t="n">
        <f aca="false">IF(AND(ISNUMBER(B174),ISNUMBER(C174)),C174-B174,"")</f>
        <v>0</v>
      </c>
      <c r="J174" s="51" t="s">
        <v>1139</v>
      </c>
    </row>
    <row r="175" customFormat="false" ht="15" hidden="false" customHeight="false" outlineLevel="0" collapsed="false">
      <c r="A175" s="28" t="s">
        <v>1146</v>
      </c>
      <c r="B175" s="50" t="n">
        <v>0.520283571742638</v>
      </c>
      <c r="C175" s="50" t="n">
        <v>0.512415535943664</v>
      </c>
      <c r="D175" s="38" t="n">
        <f aca="false">IF(AND(ISNUMBER(B175),ISNUMBER(C175)),C175-B175,"")</f>
        <v>-0.00786803579897399</v>
      </c>
      <c r="J175" s="51" t="s">
        <v>1141</v>
      </c>
    </row>
    <row r="176" customFormat="false" ht="15" hidden="false" customHeight="false" outlineLevel="0" collapsed="false">
      <c r="A176" s="28" t="s">
        <v>1147</v>
      </c>
      <c r="B176" s="50" t="n">
        <v>0.128177181135902</v>
      </c>
      <c r="C176" s="50" t="n">
        <v>0.183508997510758</v>
      </c>
      <c r="D176" s="38" t="n">
        <f aca="false">IF(AND(ISNUMBER(B176),ISNUMBER(C176)),C176-B176,"")</f>
        <v>0.055331816374856</v>
      </c>
      <c r="J176" s="51" t="s">
        <v>1143</v>
      </c>
    </row>
    <row r="177" customFormat="false" ht="15" hidden="false" customHeight="false" outlineLevel="0" collapsed="false">
      <c r="A177" s="28" t="s">
        <v>1148</v>
      </c>
      <c r="B177" s="77" t="n">
        <v>3115.16862475621</v>
      </c>
      <c r="C177" s="77" t="n">
        <v>2690.06554542929</v>
      </c>
      <c r="D177" s="36" t="n">
        <f aca="false">IF(AND(ISNUMBER(B177),ISNUMBER(C177)),C177-B177,"")</f>
        <v>-425.10307932692</v>
      </c>
      <c r="J177" s="51" t="s">
        <v>1137</v>
      </c>
    </row>
    <row r="178" customFormat="false" ht="15" hidden="false" customHeight="false" outlineLevel="0" collapsed="false">
      <c r="A178" s="28" t="s">
        <v>1149</v>
      </c>
      <c r="B178" s="77" t="n">
        <v>31404.55354357</v>
      </c>
      <c r="C178" s="77" t="n">
        <v>31404.55354357</v>
      </c>
      <c r="D178" s="36" t="n">
        <f aca="false">IF(AND(ISNUMBER(B178),ISNUMBER(C178)),C178-B178,"")</f>
        <v>0</v>
      </c>
      <c r="J178" s="51" t="s">
        <v>1139</v>
      </c>
    </row>
    <row r="179" customFormat="false" ht="15" hidden="false" customHeight="false" outlineLevel="0" collapsed="false">
      <c r="A179" s="28" t="s">
        <v>1150</v>
      </c>
      <c r="B179" s="50" t="n">
        <v>0.520283571742638</v>
      </c>
      <c r="C179" s="50" t="n">
        <v>0.512415535943664</v>
      </c>
      <c r="D179" s="38" t="n">
        <f aca="false">IF(AND(ISNUMBER(B179),ISNUMBER(C179)),C179-B179,"")</f>
        <v>-0.00786803579897399</v>
      </c>
      <c r="J179" s="51" t="s">
        <v>1141</v>
      </c>
    </row>
    <row r="180" customFormat="false" ht="15" hidden="false" customHeight="false" outlineLevel="0" collapsed="false">
      <c r="A180" s="28" t="s">
        <v>1151</v>
      </c>
      <c r="B180" s="50" t="n">
        <v>0.129679675571348</v>
      </c>
      <c r="C180" s="50" t="n">
        <v>0.184994896870204</v>
      </c>
      <c r="D180" s="38" t="n">
        <f aca="false">IF(AND(ISNUMBER(B180),ISNUMBER(C180)),C180-B180,"")</f>
        <v>0.055315221298856</v>
      </c>
      <c r="J180" s="51" t="s">
        <v>1143</v>
      </c>
    </row>
    <row r="181" customFormat="false" ht="22.35" hidden="false" customHeight="false" outlineLevel="0" collapsed="false">
      <c r="A181" s="34" t="s">
        <v>1152</v>
      </c>
      <c r="B181" s="34"/>
      <c r="C181" s="34"/>
      <c r="D181" s="34"/>
      <c r="E181" s="34"/>
      <c r="F181" s="34"/>
      <c r="G181" s="34"/>
      <c r="H181" s="34"/>
      <c r="I181" s="34"/>
      <c r="J181" s="34"/>
    </row>
    <row r="182" customFormat="false" ht="15" hidden="false" customHeight="false" outlineLevel="0" collapsed="false">
      <c r="A182" s="28" t="s">
        <v>1153</v>
      </c>
      <c r="B182" s="77" t="n">
        <v>53906.25</v>
      </c>
      <c r="C182" s="77" t="n">
        <v>53902.56</v>
      </c>
      <c r="D182" s="36" t="n">
        <f aca="false">IF(AND(ISNUMBER(B182),ISNUMBER(C182)),C182-B182,"")</f>
        <v>-3.69000000000233</v>
      </c>
      <c r="J182" s="51" t="s">
        <v>1154</v>
      </c>
    </row>
    <row r="183" customFormat="false" ht="15" hidden="false" customHeight="false" outlineLevel="0" collapsed="false">
      <c r="A183" s="28" t="s">
        <v>1155</v>
      </c>
      <c r="B183" s="77" t="n">
        <v>65514.7308305951</v>
      </c>
      <c r="C183" s="77" t="n">
        <v>65514.7308305951</v>
      </c>
      <c r="D183" s="36" t="n">
        <f aca="false">IF(AND(ISNUMBER(B183),ISNUMBER(C183)),C183-B183,"")</f>
        <v>0</v>
      </c>
      <c r="J183" s="51" t="s">
        <v>1156</v>
      </c>
    </row>
    <row r="184" customFormat="false" ht="15" hidden="false" customHeight="false" outlineLevel="0" collapsed="false">
      <c r="A184" s="28" t="s">
        <v>1157</v>
      </c>
      <c r="B184" s="50" t="n">
        <v>0.6264471906055</v>
      </c>
      <c r="C184" s="50" t="n">
        <v>0.603666895909239</v>
      </c>
      <c r="D184" s="38" t="n">
        <f aca="false">IF(AND(ISNUMBER(B184),ISNUMBER(C184)),C184-B184,"")</f>
        <v>-0.022780294696261</v>
      </c>
      <c r="J184" s="51" t="s">
        <v>1158</v>
      </c>
    </row>
    <row r="185" customFormat="false" ht="15" hidden="false" customHeight="false" outlineLevel="0" collapsed="false">
      <c r="A185" s="28" t="s">
        <v>1159</v>
      </c>
      <c r="B185" s="50" t="n">
        <v>0.130910717263797</v>
      </c>
      <c r="C185" s="50" t="n">
        <v>0.127296575456156</v>
      </c>
      <c r="D185" s="38" t="n">
        <f aca="false">IF(AND(ISNUMBER(B185),ISNUMBER(C185)),C185-B185,"")</f>
        <v>-0.003614141807641</v>
      </c>
      <c r="J185" s="51" t="s">
        <v>1160</v>
      </c>
    </row>
    <row r="186" customFormat="false" ht="15" hidden="false" customHeight="false" outlineLevel="0" collapsed="false">
      <c r="A186" s="28" t="s">
        <v>1161</v>
      </c>
      <c r="B186" s="50" t="n">
        <v>0.190484476656508</v>
      </c>
      <c r="C186" s="50" t="n">
        <v>0.18621234168671</v>
      </c>
      <c r="D186" s="38" t="n">
        <f aca="false">IF(AND(ISNUMBER(B186),ISNUMBER(C186)),C186-B186,"")</f>
        <v>-0.004272134969798</v>
      </c>
      <c r="J186" s="51" t="s">
        <v>1162</v>
      </c>
    </row>
    <row r="187" customFormat="false" ht="15" hidden="false" customHeight="false" outlineLevel="0" collapsed="false">
      <c r="A187" s="34" t="s">
        <v>1163</v>
      </c>
      <c r="B187" s="34"/>
      <c r="C187" s="34"/>
      <c r="D187" s="34"/>
      <c r="E187" s="34"/>
      <c r="F187" s="34"/>
      <c r="G187" s="34"/>
      <c r="H187" s="34"/>
      <c r="I187" s="34"/>
      <c r="J187" s="34"/>
    </row>
    <row r="188" customFormat="false" ht="15" hidden="false" customHeight="false" outlineLevel="0" collapsed="false">
      <c r="A188" s="28" t="s">
        <v>1164</v>
      </c>
      <c r="B188" s="51" t="s">
        <v>1165</v>
      </c>
      <c r="C188" s="35" t="n">
        <f aca="false">'1_TWCF_13_Week_Liquidity'!$B$134</f>
        <v>-1.24661835496787</v>
      </c>
      <c r="J188" s="51" t="s">
        <v>1166</v>
      </c>
    </row>
    <row r="189" customFormat="false" ht="15" hidden="false" customHeight="false" outlineLevel="0" collapsed="false">
      <c r="A189" s="28" t="s">
        <v>1167</v>
      </c>
      <c r="B189" s="51" t="s">
        <v>1165</v>
      </c>
      <c r="C189" s="36" t="n">
        <f aca="false">'2_Capital_Structure_Waterfall'!$B$94</f>
        <v>57407.6931858941</v>
      </c>
      <c r="J189" s="51" t="s">
        <v>1168</v>
      </c>
    </row>
    <row r="190" customFormat="false" ht="15" hidden="false" customHeight="false" outlineLevel="0" collapsed="false">
      <c r="A190" s="28" t="s">
        <v>1169</v>
      </c>
      <c r="B190" s="51" t="s">
        <v>1165</v>
      </c>
      <c r="C190" s="36" t="n">
        <f aca="false">'2_Capital_Structure_Waterfall'!$B$101</f>
        <v>182818.352456695</v>
      </c>
      <c r="J190" s="51" t="s">
        <v>1170</v>
      </c>
    </row>
    <row r="191" customFormat="false" ht="15" hidden="false" customHeight="false" outlineLevel="0" collapsed="false">
      <c r="A191" s="28" t="s">
        <v>1171</v>
      </c>
      <c r="B191" s="51" t="s">
        <v>1165</v>
      </c>
      <c r="C191" s="79" t="n">
        <f aca="false">'2_Capital_Structure_Waterfall'!$B$106</f>
        <v>7.69318291969185</v>
      </c>
      <c r="J191" s="51" t="s">
        <v>1172</v>
      </c>
    </row>
    <row r="192" customFormat="false" ht="15" hidden="false" customHeight="false" outlineLevel="0" collapsed="false">
      <c r="A192" s="28" t="s">
        <v>1173</v>
      </c>
      <c r="B192" s="51" t="s">
        <v>1165</v>
      </c>
      <c r="C192" s="36" t="n">
        <f aca="false">'2_Capital_Structure_Waterfall'!$B$109</f>
        <v>22498.3936074978</v>
      </c>
      <c r="J192" s="51" t="s">
        <v>1174</v>
      </c>
    </row>
    <row r="193" customFormat="false" ht="15" hidden="false" customHeight="false" outlineLevel="0" collapsed="false">
      <c r="A193" s="28" t="s">
        <v>1175</v>
      </c>
      <c r="B193" s="51" t="s">
        <v>1165</v>
      </c>
      <c r="C193" s="38" t="n">
        <f aca="false">'2_Capital_Structure_Waterfall'!$B$110</f>
        <v>0.946755372728267</v>
      </c>
      <c r="J193" s="51" t="s">
        <v>1176</v>
      </c>
    </row>
    <row r="194" customFormat="false" ht="15" hidden="false" customHeight="false" outlineLevel="0" collapsed="false">
      <c r="A194" s="28" t="s">
        <v>1177</v>
      </c>
      <c r="B194" s="51" t="s">
        <v>1165</v>
      </c>
      <c r="C194" s="38" t="n">
        <f aca="false">'3_Restructuring_Projections'!$C$129</f>
        <v>0.512415535943664</v>
      </c>
      <c r="J194" s="51" t="s">
        <v>1178</v>
      </c>
    </row>
    <row r="195" customFormat="false" ht="15" hidden="false" customHeight="false" outlineLevel="0" collapsed="false">
      <c r="A195" s="28" t="s">
        <v>1179</v>
      </c>
      <c r="B195" s="51" t="s">
        <v>1165</v>
      </c>
      <c r="C195" s="38" t="n">
        <f aca="false">'3_Restructuring_Projections'!$D$129</f>
        <v>0.63813067790803</v>
      </c>
      <c r="J195" s="51" t="s">
        <v>1180</v>
      </c>
    </row>
    <row r="196" customFormat="false" ht="15" hidden="false" customHeight="false" outlineLevel="0" collapsed="false">
      <c r="A196" s="28" t="s">
        <v>1181</v>
      </c>
      <c r="B196" s="51" t="s">
        <v>1165</v>
      </c>
      <c r="C196" s="38" t="n">
        <f aca="false">'0_Control_Panel'!$B$140</f>
        <v>0.584040395011661</v>
      </c>
      <c r="J196" s="51" t="s">
        <v>1182</v>
      </c>
    </row>
    <row r="197" customFormat="false" ht="15" hidden="false" customHeight="false" outlineLevel="0" collapsed="false">
      <c r="A197" s="28" t="s">
        <v>1183</v>
      </c>
      <c r="B197" s="51" t="s">
        <v>1165</v>
      </c>
      <c r="C197" s="38" t="n">
        <f aca="false">'0_Control_Panel'!$D$140</f>
        <v>0.56032587234475</v>
      </c>
      <c r="J197" s="51" t="s">
        <v>1184</v>
      </c>
    </row>
    <row r="198" customFormat="false" ht="15" hidden="false" customHeight="false" outlineLevel="0" collapsed="false">
      <c r="A198" s="28" t="s">
        <v>1185</v>
      </c>
      <c r="B198" s="51" t="s">
        <v>1165</v>
      </c>
      <c r="C198" s="38" t="n">
        <f aca="false">C218</f>
        <v>0.211276588959403</v>
      </c>
      <c r="J198" s="51" t="s">
        <v>1186</v>
      </c>
    </row>
    <row r="199" customFormat="false" ht="15" hidden="false" customHeight="false" outlineLevel="0" collapsed="false">
      <c r="A199" s="28" t="s">
        <v>1187</v>
      </c>
      <c r="B199" s="51" t="s">
        <v>1165</v>
      </c>
      <c r="C199" s="36" t="n">
        <f aca="false">B224</f>
        <v>-2784</v>
      </c>
      <c r="J199" s="51" t="s">
        <v>1188</v>
      </c>
    </row>
    <row r="200" customFormat="false" ht="15" hidden="false" customHeight="false" outlineLevel="0" collapsed="false">
      <c r="A200" s="28" t="s">
        <v>1189</v>
      </c>
      <c r="B200" s="51" t="s">
        <v>1165</v>
      </c>
      <c r="C200" s="80" t="n">
        <f aca="false">B235</f>
        <v>1.90504103165299</v>
      </c>
      <c r="J200" s="51" t="s">
        <v>1190</v>
      </c>
    </row>
    <row r="201" customFormat="false" ht="15" hidden="false" customHeight="false" outlineLevel="0" collapsed="false">
      <c r="A201" s="28" t="s">
        <v>1191</v>
      </c>
      <c r="B201" s="51" t="s">
        <v>1165</v>
      </c>
      <c r="C201" s="36" t="n">
        <f aca="false">B250</f>
        <v>2059</v>
      </c>
      <c r="J201" s="51" t="s">
        <v>1192</v>
      </c>
    </row>
    <row r="203" customFormat="false" ht="37.5" hidden="false" customHeight="true" outlineLevel="0" collapsed="false">
      <c r="A203" s="34" t="s">
        <v>1193</v>
      </c>
      <c r="B203" s="34" t="s">
        <v>1194</v>
      </c>
      <c r="C203" s="34" t="s">
        <v>1195</v>
      </c>
      <c r="D203" s="34" t="s">
        <v>1196</v>
      </c>
      <c r="E203" s="34" t="s">
        <v>1197</v>
      </c>
      <c r="F203" s="34" t="s">
        <v>1198</v>
      </c>
      <c r="G203" s="34"/>
      <c r="H203" s="34"/>
      <c r="I203" s="34"/>
      <c r="J203" s="34"/>
    </row>
    <row r="204" customFormat="false" ht="15" hidden="false" customHeight="false" outlineLevel="0" collapsed="false">
      <c r="A204" s="28" t="s">
        <v>1199</v>
      </c>
      <c r="B204" s="77" t="n">
        <v>3425.13102388923</v>
      </c>
      <c r="C204" s="50" t="n">
        <v>0.520283571742638</v>
      </c>
      <c r="D204" s="50" t="n">
        <v>0.130910717263797</v>
      </c>
      <c r="E204" s="50" t="n">
        <v>0.585621553701131</v>
      </c>
      <c r="F204" s="77" t="n">
        <v>47440.1310238892</v>
      </c>
    </row>
    <row r="205" customFormat="false" ht="15" hidden="false" customHeight="false" outlineLevel="0" collapsed="false">
      <c r="A205" s="28" t="s">
        <v>1200</v>
      </c>
      <c r="B205" s="77" t="n">
        <v>3425.13102388923</v>
      </c>
      <c r="C205" s="50" t="n">
        <v>0.512415535943664</v>
      </c>
      <c r="D205" s="50" t="n">
        <v>0.128966260365857</v>
      </c>
      <c r="E205" s="50" t="n">
        <v>0.584040395011661</v>
      </c>
      <c r="F205" s="77" t="n">
        <v>47440.1310238892</v>
      </c>
    </row>
    <row r="206" customFormat="false" ht="15" hidden="false" customHeight="false" outlineLevel="0" collapsed="false">
      <c r="A206" s="28" t="s">
        <v>1201</v>
      </c>
      <c r="B206" s="77" t="n">
        <v>3000.02794456231</v>
      </c>
      <c r="C206" s="50" t="n">
        <v>0.512415535943664</v>
      </c>
      <c r="D206" s="50" t="n">
        <v>0.127296575456156</v>
      </c>
      <c r="E206" s="50" t="n">
        <v>0.584040395011661</v>
      </c>
      <c r="F206" s="77" t="n">
        <v>47015.0279445623</v>
      </c>
    </row>
    <row r="207" customFormat="false" ht="15" hidden="false" customHeight="false" outlineLevel="0" collapsed="false">
      <c r="A207" s="28" t="s">
        <v>1202</v>
      </c>
      <c r="B207" s="77" t="n">
        <v>3000.02794456231</v>
      </c>
      <c r="C207" s="50" t="n">
        <v>0.512415535943664</v>
      </c>
      <c r="D207" s="50" t="n">
        <v>0.18621234168671</v>
      </c>
      <c r="E207" s="50" t="n">
        <v>0.584040395011661</v>
      </c>
      <c r="F207" s="77" t="n">
        <v>47015.0279445623</v>
      </c>
    </row>
    <row r="208" customFormat="false" ht="15" hidden="false" customHeight="false" outlineLevel="0" collapsed="false">
      <c r="A208" s="26" t="s">
        <v>1203</v>
      </c>
    </row>
    <row r="211" customFormat="false" ht="15" hidden="false" customHeight="false" outlineLevel="0" collapsed="false">
      <c r="A211" s="33" t="s">
        <v>1204</v>
      </c>
      <c r="B211" s="33"/>
      <c r="C211" s="33"/>
      <c r="D211" s="33"/>
      <c r="E211" s="33"/>
      <c r="F211" s="33"/>
      <c r="G211" s="33"/>
      <c r="H211" s="33"/>
      <c r="I211" s="33"/>
      <c r="J211" s="33"/>
    </row>
    <row r="212" customFormat="false" ht="15" hidden="false" customHeight="false" outlineLevel="0" collapsed="false">
      <c r="A212" s="34" t="s">
        <v>23</v>
      </c>
      <c r="B212" s="34" t="s">
        <v>1205</v>
      </c>
      <c r="C212" s="34" t="s">
        <v>1206</v>
      </c>
      <c r="D212" s="34" t="s">
        <v>1207</v>
      </c>
    </row>
    <row r="213" customFormat="false" ht="15" hidden="false" customHeight="false" outlineLevel="0" collapsed="false">
      <c r="A213" s="28" t="s">
        <v>28</v>
      </c>
      <c r="B213" s="36" t="n">
        <f aca="false">SUMIF('0_Control_Panel'!$C$25:$C$65,A213,'0_Control_Panel'!$D$25:$D$65)</f>
        <v>197856</v>
      </c>
      <c r="C213" s="38" t="n">
        <f aca="false">IFERROR(B213/B216,0)</f>
        <v>0.788723411040597</v>
      </c>
      <c r="D213" s="81" t="n">
        <f aca="false">COUNTIF('0_Control_Panel'!$C$25:$C$65,A213)</f>
        <v>22</v>
      </c>
      <c r="J213" s="51" t="s">
        <v>1208</v>
      </c>
    </row>
    <row r="214" customFormat="false" ht="15" hidden="false" customHeight="false" outlineLevel="0" collapsed="false">
      <c r="A214" s="28" t="s">
        <v>78</v>
      </c>
      <c r="B214" s="36" t="n">
        <f aca="false">SUMIF('0_Control_Panel'!$C$25:$C$65,A214,'0_Control_Panel'!$D$25:$D$65)</f>
        <v>31000</v>
      </c>
      <c r="C214" s="38" t="n">
        <f aca="false">IFERROR(B214/B216,0)</f>
        <v>0.123576872787575</v>
      </c>
      <c r="D214" s="81" t="n">
        <f aca="false">COUNTIF('0_Control_Panel'!$C$25:$C$65,A214)</f>
        <v>14</v>
      </c>
    </row>
    <row r="215" customFormat="false" ht="15" hidden="false" customHeight="false" outlineLevel="0" collapsed="false">
      <c r="A215" s="28" t="s">
        <v>107</v>
      </c>
      <c r="B215" s="36" t="n">
        <f aca="false">SUMIF('0_Control_Panel'!$C$25:$C$65,A215,'0_Control_Panel'!$D$25:$D$65)</f>
        <v>22000</v>
      </c>
      <c r="C215" s="38" t="n">
        <f aca="false">IFERROR(B215/B216,0)</f>
        <v>0.0876997161718277</v>
      </c>
      <c r="D215" s="81" t="n">
        <f aca="false">COUNTIF('0_Control_Panel'!$C$25:$C$65,A215)</f>
        <v>1</v>
      </c>
    </row>
    <row r="216" customFormat="false" ht="15" hidden="false" customHeight="false" outlineLevel="0" collapsed="false">
      <c r="A216" s="49" t="s">
        <v>1209</v>
      </c>
      <c r="B216" s="29" t="n">
        <f aca="false">SUM(B213:B215)</f>
        <v>250856</v>
      </c>
      <c r="C216" s="31" t="n">
        <f aca="false">SUM(C213:C215)</f>
        <v>1</v>
      </c>
      <c r="D216" s="82" t="n">
        <f aca="false">SUM(D213:D215)</f>
        <v>37</v>
      </c>
    </row>
    <row r="217" customFormat="false" ht="15" hidden="false" customHeight="false" outlineLevel="0" collapsed="false">
      <c r="A217" s="28" t="s">
        <v>1210</v>
      </c>
      <c r="B217" s="36" t="n">
        <f aca="false">ROUND(B216-'0_Control_Panel'!$B$65,2)</f>
        <v>0</v>
      </c>
    </row>
    <row r="218" customFormat="false" ht="15" hidden="false" customHeight="false" outlineLevel="0" collapsed="false">
      <c r="A218" s="49" t="s">
        <v>1211</v>
      </c>
      <c r="C218" s="31" t="n">
        <f aca="false">C214+C215</f>
        <v>0.211276588959403</v>
      </c>
      <c r="J218" s="51" t="s">
        <v>1212</v>
      </c>
    </row>
    <row r="219" customFormat="false" ht="15" hidden="false" customHeight="false" outlineLevel="0" collapsed="false">
      <c r="A219" s="28" t="s">
        <v>1213</v>
      </c>
      <c r="D219" s="81" t="n">
        <f aca="false">COUNTIF('0_Control_Panel'!$E$25:$E$65,"UNVERIFIED*")</f>
        <v>16</v>
      </c>
    </row>
    <row r="221" customFormat="false" ht="15" hidden="false" customHeight="false" outlineLevel="0" collapsed="false">
      <c r="A221" s="33" t="s">
        <v>1214</v>
      </c>
      <c r="B221" s="33"/>
      <c r="C221" s="33"/>
      <c r="D221" s="33"/>
      <c r="E221" s="33"/>
      <c r="F221" s="33"/>
      <c r="G221" s="33"/>
      <c r="H221" s="33"/>
      <c r="I221" s="33"/>
      <c r="J221" s="33"/>
    </row>
    <row r="222" customFormat="false" ht="15" hidden="false" customHeight="false" outlineLevel="0" collapsed="false">
      <c r="A222" s="28" t="s">
        <v>1215</v>
      </c>
      <c r="B222" s="36" t="n">
        <f aca="false">'3_Restructuring_Projections'!$C$81</f>
        <v>-41111</v>
      </c>
      <c r="J222" s="51" t="s">
        <v>1216</v>
      </c>
    </row>
    <row r="223" customFormat="false" ht="15" hidden="false" customHeight="false" outlineLevel="0" collapsed="false">
      <c r="A223" s="28" t="s">
        <v>1217</v>
      </c>
      <c r="B223" s="77" t="n">
        <v>-38327</v>
      </c>
    </row>
    <row r="224" customFormat="false" ht="15" hidden="false" customHeight="false" outlineLevel="0" collapsed="false">
      <c r="A224" s="49" t="s">
        <v>1218</v>
      </c>
      <c r="B224" s="29" t="n">
        <f aca="false">B222-B223</f>
        <v>-2784</v>
      </c>
    </row>
    <row r="225" customFormat="false" ht="15" hidden="false" customHeight="false" outlineLevel="0" collapsed="false">
      <c r="A225" s="28" t="s">
        <v>1219</v>
      </c>
      <c r="B225" s="38" t="n">
        <f aca="false">IFERROR(B224/ABS(B223),0)</f>
        <v>-0.0726380880319357</v>
      </c>
    </row>
    <row r="226" customFormat="false" ht="15" hidden="false" customHeight="false" outlineLevel="0" collapsed="false">
      <c r="A226" s="28" t="s">
        <v>1220</v>
      </c>
      <c r="B226" s="50" t="n">
        <v>0.05</v>
      </c>
    </row>
    <row r="227" customFormat="false" ht="15" hidden="false" customHeight="false" outlineLevel="0" collapsed="false">
      <c r="A227" s="49" t="s">
        <v>355</v>
      </c>
      <c r="B227" s="49" t="str">
        <f aca="false">IF(ABS(B225)&lt;=B226,"OK — within tolerance","CHECK — model equity is "&amp;TEXT(ABS(B225),"0.0%")&amp;" away from reported; B57 plug needs recalibration")</f>
        <v>CHECK — model equity is 7.3% away from reported; B57 plug needs recalibration</v>
      </c>
      <c r="J227" s="51" t="s">
        <v>1221</v>
      </c>
    </row>
    <row r="228" customFormat="false" ht="15" hidden="false" customHeight="false" outlineLevel="0" collapsed="false">
      <c r="A228" s="28" t="s">
        <v>1222</v>
      </c>
      <c r="B228" s="36" t="n">
        <f aca="false">'0_Control_Panel'!$B$57-(B223-B222)</f>
        <v>19216</v>
      </c>
    </row>
    <row r="229" customFormat="false" ht="15" hidden="false" customHeight="false" outlineLevel="0" collapsed="false">
      <c r="A229" s="28" t="s">
        <v>1223</v>
      </c>
      <c r="B229" s="53" t="n">
        <v>-3.3</v>
      </c>
      <c r="C229" s="36" t="n">
        <f aca="false">B229*'0_Control_Panel'!$B$40</f>
        <v>-35753.2025316456</v>
      </c>
      <c r="D229" s="51" t="s">
        <v>1224</v>
      </c>
    </row>
    <row r="230" customFormat="false" ht="15" hidden="false" customHeight="false" outlineLevel="0" collapsed="false">
      <c r="A230" s="28" t="s">
        <v>1225</v>
      </c>
      <c r="B230" s="53" t="n">
        <v>-3.65</v>
      </c>
      <c r="C230" s="36" t="n">
        <f aca="false">B230*'0_Control_Panel'!$B$40</f>
        <v>-39545.2088607595</v>
      </c>
      <c r="D230" s="51" t="s">
        <v>1224</v>
      </c>
    </row>
    <row r="232" customFormat="false" ht="15" hidden="false" customHeight="false" outlineLevel="0" collapsed="false">
      <c r="A232" s="33" t="s">
        <v>1226</v>
      </c>
      <c r="B232" s="33"/>
      <c r="C232" s="33"/>
      <c r="D232" s="33"/>
      <c r="E232" s="33"/>
      <c r="F232" s="33"/>
      <c r="G232" s="33"/>
      <c r="H232" s="33"/>
      <c r="I232" s="33"/>
      <c r="J232" s="33"/>
    </row>
    <row r="233" customFormat="false" ht="15" hidden="false" customHeight="false" outlineLevel="0" collapsed="false">
      <c r="A233" s="28" t="s">
        <v>1227</v>
      </c>
      <c r="B233" s="36" t="n">
        <f aca="false">'0_Control_Panel'!$B$52</f>
        <v>19500</v>
      </c>
    </row>
    <row r="234" customFormat="false" ht="15" hidden="false" customHeight="false" outlineLevel="0" collapsed="false">
      <c r="A234" s="28" t="s">
        <v>1228</v>
      </c>
      <c r="B234" s="36" t="n">
        <f aca="false">'3_Restructuring_Projections'!$C$38</f>
        <v>10236</v>
      </c>
    </row>
    <row r="235" customFormat="false" ht="15" hidden="false" customHeight="false" outlineLevel="0" collapsed="false">
      <c r="A235" s="49" t="s">
        <v>1229</v>
      </c>
      <c r="B235" s="83" t="n">
        <f aca="false">IFERROR(B233/B234,0)</f>
        <v>1.90504103165299</v>
      </c>
    </row>
    <row r="236" customFormat="false" ht="15" hidden="false" customHeight="false" outlineLevel="0" collapsed="false">
      <c r="A236" s="28" t="s">
        <v>1230</v>
      </c>
      <c r="B236" s="84" t="n">
        <v>3</v>
      </c>
    </row>
    <row r="237" customFormat="false" ht="15" hidden="false" customHeight="false" outlineLevel="0" collapsed="false">
      <c r="A237" s="49" t="s">
        <v>1231</v>
      </c>
      <c r="B237" s="49" t="str">
        <f aca="false">IF(B235&lt;B236,"LOOKS SHORT for tower leases — liability ≈ "&amp;TEXT(B235,"0.0")&amp;" years of rent; site/tower agreements normally run far longer, so the estimate is probably low","OK")</f>
        <v>LOOKS SHORT for tower leases — liability ≈ 1.9 years of rent; site/tower agreements normally run far longer, so the estimate is probably low</v>
      </c>
      <c r="J237" s="51" t="s">
        <v>1232</v>
      </c>
    </row>
    <row r="238" customFormat="false" ht="15" hidden="false" customHeight="false" outlineLevel="0" collapsed="false">
      <c r="A238" s="28" t="s">
        <v>1233</v>
      </c>
      <c r="B238" s="80" t="n">
        <f aca="false">'0_Control_Panel'!$B$63/B234</f>
        <v>1.46541617819461</v>
      </c>
    </row>
    <row r="239" customFormat="false" ht="15" hidden="false" customHeight="false" outlineLevel="0" collapsed="false">
      <c r="A239" s="28" t="s">
        <v>1234</v>
      </c>
      <c r="B239" s="77" t="n">
        <v>4925</v>
      </c>
    </row>
    <row r="240" customFormat="false" ht="15" hidden="false" customHeight="false" outlineLevel="0" collapsed="false">
      <c r="A240" s="28" t="s">
        <v>1235</v>
      </c>
      <c r="B240" s="77" t="n">
        <v>3701</v>
      </c>
    </row>
    <row r="241" customFormat="false" ht="15" hidden="false" customHeight="false" outlineLevel="0" collapsed="false">
      <c r="A241" s="28" t="s">
        <v>1236</v>
      </c>
      <c r="B241" s="36" t="n">
        <f aca="false">(B239-B240)*4</f>
        <v>4896</v>
      </c>
    </row>
    <row r="242" customFormat="false" ht="15" hidden="false" customHeight="false" outlineLevel="0" collapsed="false">
      <c r="A242" s="28" t="s">
        <v>1237</v>
      </c>
      <c r="B242" s="36" t="n">
        <f aca="false">IFERROR(B241/'3_Restructuring_Projections'!$B$46,0)</f>
        <v>51536.8421052632</v>
      </c>
      <c r="J242" s="51" t="s">
        <v>1238</v>
      </c>
    </row>
    <row r="243" customFormat="false" ht="15" hidden="false" customHeight="false" outlineLevel="0" collapsed="false">
      <c r="A243" s="49" t="s">
        <v>1239</v>
      </c>
      <c r="B243" s="30" t="n">
        <f aca="false">IFERROR(B242/B233,0)</f>
        <v>2.64291497975709</v>
      </c>
    </row>
    <row r="245" customFormat="false" ht="15" hidden="false" customHeight="false" outlineLevel="0" collapsed="false">
      <c r="A245" s="33" t="s">
        <v>1240</v>
      </c>
      <c r="B245" s="33"/>
      <c r="C245" s="33"/>
      <c r="D245" s="33"/>
      <c r="E245" s="33"/>
      <c r="F245" s="33"/>
      <c r="G245" s="33"/>
      <c r="H245" s="33"/>
      <c r="I245" s="33"/>
      <c r="J245" s="33"/>
    </row>
    <row r="246" customFormat="false" ht="15" hidden="false" customHeight="false" outlineLevel="0" collapsed="false">
      <c r="A246" s="28" t="s">
        <v>1241</v>
      </c>
      <c r="B246" s="77" t="n">
        <v>9259</v>
      </c>
      <c r="J246" s="51" t="s">
        <v>1242</v>
      </c>
    </row>
    <row r="247" customFormat="false" ht="15" hidden="false" customHeight="false" outlineLevel="0" collapsed="false">
      <c r="A247" s="28" t="s">
        <v>1243</v>
      </c>
      <c r="B247" s="36" t="n">
        <f aca="false">'0_Control_Panel'!$B$42</f>
        <v>7076</v>
      </c>
    </row>
    <row r="248" customFormat="false" ht="15" hidden="false" customHeight="false" outlineLevel="0" collapsed="false">
      <c r="A248" s="28" t="s">
        <v>1244</v>
      </c>
      <c r="B248" s="36" t="n">
        <f aca="false">'0_Control_Panel'!$B$47</f>
        <v>124</v>
      </c>
    </row>
    <row r="249" customFormat="false" ht="15" hidden="false" customHeight="false" outlineLevel="0" collapsed="false">
      <c r="A249" s="49" t="s">
        <v>1245</v>
      </c>
      <c r="B249" s="29" t="n">
        <f aca="false">B247+B248</f>
        <v>7200</v>
      </c>
    </row>
    <row r="250" customFormat="false" ht="15" hidden="false" customHeight="false" outlineLevel="0" collapsed="false">
      <c r="A250" s="49" t="s">
        <v>1246</v>
      </c>
      <c r="B250" s="29" t="n">
        <f aca="false">B246-B249</f>
        <v>2059</v>
      </c>
      <c r="J250" s="51" t="s">
        <v>1247</v>
      </c>
    </row>
    <row r="251" customFormat="false" ht="15" hidden="false" customHeight="false" outlineLevel="0" collapsed="false">
      <c r="A251" s="28" t="s">
        <v>1248</v>
      </c>
      <c r="B251" s="38" t="n">
        <f aca="false">IFERROR(B250/'0_Control_Panel'!$B$43,0)</f>
        <v>0.137266666666667</v>
      </c>
    </row>
    <row r="252" customFormat="false" ht="15" hidden="false" customHeight="false" outlineLevel="0" collapsed="false">
      <c r="A252" s="28" t="s">
        <v>1249</v>
      </c>
      <c r="B252" s="36" t="n">
        <f aca="false">B246</f>
        <v>9259</v>
      </c>
    </row>
  </sheetData>
  <mergeCells count="1">
    <mergeCell ref="A52:J52"/>
  </mergeCells>
  <conditionalFormatting sqref="B40:F40">
    <cfRule type="expression" priority="2" aboveAverage="0" equalAverage="0" bottom="0" percent="0" rank="0" text="" dxfId="3">
      <formula>B40&lt;1</formula>
    </cfRule>
  </conditionalFormatting>
  <conditionalFormatting sqref="B34:F34">
    <cfRule type="expression" priority="3" aboveAverage="0" equalAverage="0" bottom="0" percent="0" rank="0" text="" dxfId="3">
      <formula>B34&lt;0</formula>
    </cfRule>
  </conditionalFormatting>
  <conditionalFormatting sqref="B227">
    <cfRule type="expression" priority="4" aboveAverage="0" equalAverage="0" bottom="0" percent="0" rank="0" text="" dxfId="1">
      <formula>LEFT(B227,5)="CHECK"</formula>
    </cfRule>
  </conditionalFormatting>
  <conditionalFormatting sqref="B237">
    <cfRule type="expression" priority="5" aboveAverage="0" equalAverage="0" bottom="0" percent="0" rank="0" text="" dxfId="1">
      <formula>LEFT(B237,5)="LOOKS"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2026-10-04T05:51:20Z</dcterms:created>
  <dc:creator>openpyxl</dc:creator>
  <dc:description/>
  <dc:language>en-US</dc:language>
  <cp:lastModifiedBy/>
  <dcterms:modified xsi:type="dcterms:W3CDTF">2026-10-06T04:28:30Z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