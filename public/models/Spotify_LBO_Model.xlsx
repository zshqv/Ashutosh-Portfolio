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Dashboard_Toggles" sheetId="1" state="visible" r:id="rId3"/>
    <sheet name="1_Transaction_Summary" sheetId="2" state="visible" r:id="rId4"/>
    <sheet name="2_Operating_Build" sheetId="3" state="visible" r:id="rId5"/>
    <sheet name="3_Financial_Statements" sheetId="4" state="visible" r:id="rId6"/>
    <sheet name="4_Debt_Schedule" sheetId="5" state="visible" r:id="rId7"/>
    <sheet name="5_Returns_Sensitivities" sheetId="6" state="visible" r:id="rId8"/>
    <sheet name="6_IC_Analysis" sheetId="7" state="visible" r:id="rId9"/>
    <sheet name="7_Assumptions_Register" sheetId="8" state="visible" r:id="rId10"/>
    <sheet name="8_Change_Log" sheetId="9" state="visible" r:id="rId11"/>
    <sheet name="9_Interview_Brief" sheetId="10" state="visible" r:id="rId12"/>
  </sheets>
  <calcPr iterateCount="1000" refMode="A1" iterate="true" iterateDelta="1E-005"/>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Source: Q2'26 6-K, weighted-average basic ordinary shares 205,788,241. Replace with 20-F/6-K period-end count in Phase 2.</t>
        </r>
      </text>
    </comment>
    <comment ref="C12" authorId="0">
      <text>
        <r>
          <rPr>
            <sz val="10"/>
            <rFont val="Arial"/>
            <family val="2"/>
          </rPr>
          <t xml:space="preserve">Estimate calibrated so TSM at Q2 avg price ≈ 2.40m dilutive options disclosed in 6-K. Replace with 20-F share-based payment note.</t>
        </r>
      </text>
    </comment>
    <comment ref="C13" authorId="0">
      <text>
        <r>
          <rPr>
            <sz val="10"/>
            <rFont val="Arial"/>
            <family val="2"/>
          </rPr>
          <t xml:space="preserve">Estimate calibrated so TSM at Q2 avg price ≈ 2.40m dilutive options disclosed in 6-K. Replace with 20-F share-based payment note.</t>
        </r>
      </text>
    </comment>
    <comment ref="C14" authorId="0">
      <text>
        <r>
          <rPr>
            <sz val="10"/>
            <rFont val="Arial"/>
            <family val="2"/>
          </rPr>
          <t xml:space="preserve">Estimate calibrated so TSM at Q2 avg price ≈ 2.40m dilutive options disclosed in 6-K. Replace with 20-F share-based payment note.</t>
        </r>
      </text>
    </comment>
    <comment ref="C16" authorId="0">
      <text>
        <r>
          <rPr>
            <sz val="10"/>
            <rFont val="Arial"/>
            <family val="2"/>
          </rPr>
          <t xml:space="preserve">Source: Q2'26 6-K dilutive RSUs (674,073). Full unvested count from 20-F in Phase 2.</t>
        </r>
      </text>
    </comment>
    <comment ref="F49" authorId="0">
      <text>
        <r>
          <rPr>
            <sz val="10"/>
            <rFont val="Arial"/>
            <family val="2"/>
          </rPr>
          <t xml:space="preserve">Estimate of founder + Tencent economic stake rolling at offer price. Verify vs 20-F Item 7 (Major Shareholders).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14" authorId="0">
      <text>
        <r>
          <rPr>
            <sz val="10"/>
            <rFont val="Arial"/>
            <family val="2"/>
          </rPr>
          <t xml:space="preserve">FY26E closing subs (Q3 guide 305m + Q4E). Regional split estimated; Europe 36% per Q2'26 6-K.</t>
        </r>
      </text>
    </comment>
    <comment ref="E16" authorId="0">
      <text>
        <r>
          <rPr>
            <sz val="10"/>
            <rFont val="Arial"/>
            <family val="2"/>
          </rPr>
          <t xml:space="preserve">Estimated; blended to €4.89 Q2'26 Premium ARPU (6-K).</t>
        </r>
      </text>
    </comment>
    <comment ref="E19" authorId="0">
      <text>
        <r>
          <rPr>
            <sz val="10"/>
            <rFont val="Arial"/>
            <family val="2"/>
          </rPr>
          <t xml:space="preserve">FY26E closing subs (Q3 guide 305m + Q4E). Regional split estimated; Europe 36% per Q2'26 6-K.</t>
        </r>
      </text>
    </comment>
    <comment ref="E21" authorId="0">
      <text>
        <r>
          <rPr>
            <sz val="10"/>
            <rFont val="Arial"/>
            <family val="2"/>
          </rPr>
          <t xml:space="preserve">Estimated; blended to €4.89 Q2'26 Premium ARPU (6-K).</t>
        </r>
      </text>
    </comment>
    <comment ref="E24" authorId="0">
      <text>
        <r>
          <rPr>
            <sz val="10"/>
            <rFont val="Arial"/>
            <family val="2"/>
          </rPr>
          <t xml:space="preserve">FY26E closing subs (Q3 guide 305m + Q4E). Regional split estimated; Europe 36% per Q2'26 6-K.</t>
        </r>
      </text>
    </comment>
    <comment ref="E26" authorId="0">
      <text>
        <r>
          <rPr>
            <sz val="10"/>
            <rFont val="Arial"/>
            <family val="2"/>
          </rPr>
          <t xml:space="preserve">Estimated; blended to €4.89 Q2'26 Premium ARPU (6-K).</t>
        </r>
      </text>
    </comment>
    <comment ref="E29" authorId="0">
      <text>
        <r>
          <rPr>
            <sz val="10"/>
            <rFont val="Arial"/>
            <family val="2"/>
          </rPr>
          <t xml:space="preserve">FY26E closing subs (Q3 guide 305m + Q4E). Regional split estimated; Europe 36% per Q2'26 6-K.</t>
        </r>
      </text>
    </comment>
    <comment ref="E31" authorId="0">
      <text>
        <r>
          <rPr>
            <sz val="10"/>
            <rFont val="Arial"/>
            <family val="2"/>
          </rPr>
          <t xml:space="preserve">Estimated; blended to €4.89 Q2'26 Premium ARPU (6-K).</t>
        </r>
      </text>
    </comment>
    <comment ref="E39" authorId="0">
      <text>
        <r>
          <rPr>
            <sz val="10"/>
            <rFont val="Arial"/>
            <family val="2"/>
          </rPr>
          <t xml:space="preserve">FY26E: Q1 €4,148m + Q2 €4,331m (6-K) + Q3/Q4 estimate on €5.0bn Q3 total revenue guide.</t>
        </r>
      </text>
    </comment>
    <comment ref="E43" authorId="0">
      <text>
        <r>
          <rPr>
            <sz val="10"/>
            <rFont val="Arial"/>
            <family val="2"/>
          </rPr>
          <t xml:space="preserve">494m at Q2'26 (6-K) + H2 growth.</t>
        </r>
      </text>
    </comment>
    <comment ref="E44" authorId="0">
      <text>
        <r>
          <rPr>
            <sz val="10"/>
            <rFont val="Arial"/>
            <family val="2"/>
          </rPr>
          <t xml:space="preserve">FY26E: Q1 €385m + Q2 €446m (6-K) + H2E.</t>
        </r>
      </text>
    </comment>
    <comment ref="E50" authorId="0">
      <text>
        <r>
          <rPr>
            <sz val="10"/>
            <rFont val="Arial"/>
            <family val="2"/>
          </rPr>
          <t xml:space="preserve">Implied from Q2'26 Premium GM 34.9% (6-K) less non-music content &amp; other COGS estimates.</t>
        </r>
      </text>
    </comment>
    <comment ref="E57" authorId="0">
      <text>
        <r>
          <rPr>
            <sz val="10"/>
            <rFont val="Arial"/>
            <family val="2"/>
          </rPr>
          <t xml:space="preserve">Q2'26 Ad-Supported GM 19.1% (6-K); FY26E blended lower on Q1.</t>
        </r>
      </text>
    </comment>
    <comment ref="E63" authorId="0">
      <text>
        <r>
          <rPr>
            <sz val="10"/>
            <rFont val="Arial"/>
            <family val="2"/>
          </rPr>
          <t xml:space="preserve">H1'26 run-rate from 6-K income statement.</t>
        </r>
      </text>
    </comment>
    <comment ref="E64" authorId="0">
      <text>
        <r>
          <rPr>
            <sz val="10"/>
            <rFont val="Arial"/>
            <family val="2"/>
          </rPr>
          <t xml:space="preserve">H1'26 run-rate from 6-K income statement.</t>
        </r>
      </text>
    </comment>
    <comment ref="E65" authorId="0">
      <text>
        <r>
          <rPr>
            <sz val="10"/>
            <rFont val="Arial"/>
            <family val="2"/>
          </rPr>
          <t xml:space="preserve">H1'26 run-rate from 6-K income statement.</t>
        </r>
      </text>
    </comment>
    <comment ref="E75" authorId="0">
      <text>
        <r>
          <rPr>
            <sz val="10"/>
            <rFont val="Arial"/>
            <family val="2"/>
          </rPr>
          <t xml:space="preserve">Q1+Q2'26 SBC €142m (6-K cash flow) annualised.</t>
        </r>
      </text>
    </comment>
    <comment ref="E82" authorId="0">
      <text>
        <r>
          <rPr>
            <sz val="10"/>
            <rFont val="Arial"/>
            <family val="2"/>
          </rPr>
          <t xml:space="preserve">LTM capex €79m (6-K).</t>
        </r>
      </text>
    </comment>
    <comment ref="E85" authorId="0">
      <text>
        <r>
          <rPr>
            <sz val="10"/>
            <rFont val="Arial"/>
            <family val="2"/>
          </rPr>
          <t xml:space="preserve">30-Jun-26 6-K: receivables 780 + other CA 116 + tax rec. 92 − payables 1,325 − accrued 2,573 − deferred rev. 778 − tax payable 171.</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E49" authorId="0">
      <text>
        <r>
          <rPr>
            <sz val="10"/>
            <rFont val="Arial"/>
            <family val="2"/>
          </rPr>
          <t xml:space="preserve">6-K: PP&amp;E €193m + ROU €225m.</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M60" authorId="0">
      <text>
        <r>
          <rPr>
            <sz val="10"/>
            <rFont val="Arial"/>
            <family val="2"/>
          </rPr>
          <t xml:space="preserve">Convergence residual written by macro SolveInterestCircularity (0 = converged).</t>
        </r>
      </text>
    </comment>
  </commentList>
</comments>
</file>

<file path=xl/sharedStrings.xml><?xml version="1.0" encoding="utf-8"?>
<sst xmlns="http://schemas.openxmlformats.org/spreadsheetml/2006/main" count="1227" uniqueCount="908">
  <si>
    <t xml:space="preserve">Project Harmony – Spotify Technology S.A. Take-Private LBO</t>
  </si>
  <si>
    <t xml:space="preserve">Master check:</t>
  </si>
  <si>
    <t xml:space="preserve">€ millions unless stated | Close 31-Dec-2026 | 7-year hold to FY2033E | Inputs blue, formulas black, cross-sheet links green, checks red</t>
  </si>
  <si>
    <t xml:space="preserve">GLOBAL CONTROLS</t>
  </si>
  <si>
    <t xml:space="preserve">Scenario selector</t>
  </si>
  <si>
    <t xml:space="preserve">Base</t>
  </si>
  <si>
    <t xml:space="preserve">Data validation: Base / Upside / Downside</t>
  </si>
  <si>
    <t xml:space="preserve">Scenario index (INDEX/MATCH)</t>
  </si>
  <si>
    <t xml:space="preserve">Drives column H of the scenario matrix</t>
  </si>
  <si>
    <t xml:space="preserve">Offer premium to unaffected price</t>
  </si>
  <si>
    <t xml:space="preserve">IC case 30%</t>
  </si>
  <si>
    <t xml:space="preserve">Unaffected share price (USD)</t>
  </si>
  <si>
    <t xml:space="preserve">SPOT Sep-2026 month-end close</t>
  </si>
  <si>
    <t xml:space="preserve">EUR per USD</t>
  </si>
  <si>
    <t xml:space="preserve">Spotify Q2'26 6-K guidance rate (30-Jun-2026)</t>
  </si>
  <si>
    <t xml:space="preserve">Interest circularity toggle (1 = avg balances, 0 = opening)</t>
  </si>
  <si>
    <t xml:space="preserve">Shipped at 0 (opening-balance interest, fully balanced). Set 1 for average-balance interest – iterative calc is pre-enabled; or run macro SolveInterestCircularity. 0 is also the circuit breaker.</t>
  </si>
  <si>
    <t xml:space="preserve">Cash sweep toggle (1 = on)</t>
  </si>
  <si>
    <t xml:space="preserve">Cash sweep % of excess cash</t>
  </si>
  <si>
    <t xml:space="preserve">Minimum cash balance</t>
  </si>
  <si>
    <t xml:space="preserve">Buffer vs. €2.6bn accrued royalties (negative working capital)</t>
  </si>
  <si>
    <t xml:space="preserve">Entry gross leverage (x FY26E Adj. EBITDA)</t>
  </si>
  <si>
    <t xml:space="preserve">Advisory &amp; legal fees (% of EV)</t>
  </si>
  <si>
    <t xml:space="preserve">Expensed at close</t>
  </si>
  <si>
    <t xml:space="preserve">Financing fees (% of funded debt)</t>
  </si>
  <si>
    <t xml:space="preserve">Capitalised, amortised over 7 years</t>
  </si>
  <si>
    <t xml:space="preserve">TLB OID (% of TLB)</t>
  </si>
  <si>
    <t xml:space="preserve">Capitalised with financing fees</t>
  </si>
  <si>
    <t xml:space="preserve">Cash tax rate</t>
  </si>
  <si>
    <t xml:space="preserve">Luxembourg City combined CIT + MBT</t>
  </si>
  <si>
    <t xml:space="preserve">ATAD interest cap (% of tax-EBITDA)</t>
  </si>
  <si>
    <t xml:space="preserve">Lux &amp; Sweden implement ATAD Art. 4; €3m de minimis</t>
  </si>
  <si>
    <t xml:space="preserve">Management Incentive Plan (% of equity gain)</t>
  </si>
  <si>
    <t xml:space="preserve">Exit multiple override (blank = scenario value)</t>
  </si>
  <si>
    <t xml:space="preserve">Type a value to override</t>
  </si>
  <si>
    <t xml:space="preserve">Live exit EV / EBITDA multiple</t>
  </si>
  <si>
    <t xml:space="preserve">SCENARIO MATRIX</t>
  </si>
  <si>
    <t xml:space="preserve">Upside</t>
  </si>
  <si>
    <t xml:space="preserve">Downside</t>
  </si>
  <si>
    <t xml:space="preserve">Live</t>
  </si>
  <si>
    <t xml:space="preserve">Premium sub growth FY27E (fades linearly to FY33E)</t>
  </si>
  <si>
    <t xml:space="preserve">Premium sub growth FY33E</t>
  </si>
  <si>
    <t xml:space="preserve">Premium ARPU growth p.a.</t>
  </si>
  <si>
    <t xml:space="preserve">Monthly Premium churn (base level)</t>
  </si>
  <si>
    <t xml:space="preserve">Ad-Supported revenue growth p.a.</t>
  </si>
  <si>
    <t xml:space="preserve">Music royalty rate step-down p.a. (bps of Premium rev.)</t>
  </si>
  <si>
    <t xml:space="preserve">Ad-Supported gross margin FY33E</t>
  </si>
  <si>
    <t xml:space="preserve">R&amp;D % revenue (reached FY29E)</t>
  </si>
  <si>
    <t xml:space="preserve">S&amp;M % revenue (reached FY29E)</t>
  </si>
  <si>
    <t xml:space="preserve">G&amp;A % revenue (reached FY29E)</t>
  </si>
  <si>
    <t xml:space="preserve">EURIBOR shift vs. forward curve (bps)</t>
  </si>
  <si>
    <t xml:space="preserve">Exit EV / EBITDA multiple</t>
  </si>
  <si>
    <t xml:space="preserve">% of SBC converted to cash compensation post-close</t>
  </si>
  <si>
    <t xml:space="preserve">Dividend recap switch (set in 4_Debt_Schedule!C73 – default OFF)</t>
  </si>
  <si>
    <t xml:space="preserve">Base case is unchanged when 0. See 6_IC_Analysis section C for recap results.</t>
  </si>
  <si>
    <t xml:space="preserve">AUTOMATED AUDIT CHECKS (must all be zero)</t>
  </si>
  <si>
    <t xml:space="preserve">Balance sheet balances (Σ|Assets − L&amp;E|)</t>
  </si>
  <si>
    <t xml:space="preserve">Cash flow closing cash = BS cash</t>
  </si>
  <si>
    <t xml:space="preserve">Sources = Uses</t>
  </si>
  <si>
    <t xml:space="preserve">No negative debt balances (count)</t>
  </si>
  <si>
    <t xml:space="preserve">RCF within €500m limit (count of breaches)</t>
  </si>
  <si>
    <t xml:space="preserve">Minimum cash respected (count of breaches)</t>
  </si>
  <si>
    <t xml:space="preserve">Net leverage covenant (TLA springing 7.0x) breaches</t>
  </si>
  <si>
    <t xml:space="preserve">Circularity converged (Σ residual, row 60 of Debt Schedule; was a hard-coded 0)</t>
  </si>
  <si>
    <t xml:space="preserve">MASTER CHECK</t>
  </si>
  <si>
    <t xml:space="preserve">LIVE OUTPUTS (selected scenario)</t>
  </si>
  <si>
    <t xml:space="preserve">Offer price per share (USD / EUR)</t>
  </si>
  <si>
    <t xml:space="preserve">Equity purchase price / Enterprise value</t>
  </si>
  <si>
    <t xml:space="preserve">EV / FY26E Adj. EBITDA  |  EV / LTM FCF</t>
  </si>
  <si>
    <t xml:space="preserve">Total debt at close  |  gross leverage</t>
  </si>
  <si>
    <t xml:space="preserve">Total equity (sponsor + rollover)  |  % of capitalisation</t>
  </si>
  <si>
    <t xml:space="preserve">Exit EBITDA FY33E  |  exit multiple</t>
  </si>
  <si>
    <t xml:space="preserve">Gross MoIC  |  Gross IRR</t>
  </si>
  <si>
    <t xml:space="preserve">Net MoIC  |  Net IRR (LP, after fees &amp; carry)</t>
  </si>
  <si>
    <t xml:space="preserve">Net leverage FY27E  |  FY29E</t>
  </si>
  <si>
    <t xml:space="preserve">SCENARIO SNAPSHOT – STATIC PASTED VALUES, NOT LIVE (regenerated by full model re-runs on v3, 06-Oct-2026; freshness test in C72)</t>
  </si>
  <si>
    <t xml:space="preserve">Exit Adj. EBITDA FY33E (€m)</t>
  </si>
  <si>
    <t xml:space="preserve">FY33E gross margin</t>
  </si>
  <si>
    <t xml:space="preserve">Exit multiple</t>
  </si>
  <si>
    <t xml:space="preserve">Gross MoIC</t>
  </si>
  <si>
    <t xml:space="preserve">Gross IRR</t>
  </si>
  <si>
    <t xml:space="preserve">Net MoIC</t>
  </si>
  <si>
    <t xml:space="preserve">Net IRR</t>
  </si>
  <si>
    <t xml:space="preserve">Peak net leverage</t>
  </si>
  <si>
    <t xml:space="preserve">Snapshot freshness (selected scenario vs live Gross IRR)</t>
  </si>
  <si>
    <t xml:space="preserve">STALE = an input has changed since the snapshot was pasted. Re-run harmony_rerun.py to refresh. Values above were NOT recomputed by Excel.</t>
  </si>
  <si>
    <t xml:space="preserve">1 | Transaction Summary – Purchase Price Bridge &amp; Sources and Uses</t>
  </si>
  <si>
    <t xml:space="preserve">Share data: Spotify Q2 2026 Form 6-K (Ex. 99.1, filed 4-Aug-2026) EPS note; balance sheet at 30-Jun-2026</t>
  </si>
  <si>
    <t xml:space="preserve">PURCHASE PRICE BRIDGE</t>
  </si>
  <si>
    <t xml:space="preserve">Offer price per share (USD)</t>
  </si>
  <si>
    <t xml:space="preserve">Offer price per share (EUR)</t>
  </si>
  <si>
    <t xml:space="preserve">Basic shares outstanding (m)</t>
  </si>
  <si>
    <t xml:space="preserve">Option tranches (Treasury Stock Method)</t>
  </si>
  <si>
    <t xml:space="preserve">Options (m)</t>
  </si>
  <si>
    <t xml:space="preserve">Strike (USD)</t>
  </si>
  <si>
    <t xml:space="preserve">TSM shares (m)</t>
  </si>
  <si>
    <t xml:space="preserve">Cash-out (€m)</t>
  </si>
  <si>
    <t xml:space="preserve">   Tranche 1 (legacy grants)</t>
  </si>
  <si>
    <t xml:space="preserve">   Tranche 2</t>
  </si>
  <si>
    <t xml:space="preserve">   Tranche 3 (recent grants)</t>
  </si>
  <si>
    <t xml:space="preserve">   Total options</t>
  </si>
  <si>
    <t xml:space="preserve">Unvested RSUs (m)</t>
  </si>
  <si>
    <t xml:space="preserve">Fully diluted shares outstanding (m)</t>
  </si>
  <si>
    <t xml:space="preserve">Equity purchase price (incl. option cash-out)</t>
  </si>
  <si>
    <t xml:space="preserve">Less: cash and cash equivalents</t>
  </si>
  <si>
    <t xml:space="preserve">6-K BS 30-Jun-26</t>
  </si>
  <si>
    <t xml:space="preserve">Less: short-term investments</t>
  </si>
  <si>
    <t xml:space="preserve">Less: long-term investments (non-operating)</t>
  </si>
  <si>
    <t xml:space="preserve">6-K BS; incl. TME stake</t>
  </si>
  <si>
    <t xml:space="preserve">Plus: lease liabilities (IFRS 16)</t>
  </si>
  <si>
    <t xml:space="preserve">€404m non-current + c.€66m current (E)</t>
  </si>
  <si>
    <t xml:space="preserve">Plus: financial debt</t>
  </si>
  <si>
    <t xml:space="preserve">Exchangeable Notes repaid Q1'26 (€1,304m)</t>
  </si>
  <si>
    <t xml:space="preserve">Enterprise value</t>
  </si>
  <si>
    <t xml:space="preserve">FY26E Adj. EBITDA</t>
  </si>
  <si>
    <t xml:space="preserve">EV / FY26E Adj. EBITDA</t>
  </si>
  <si>
    <t xml:space="preserve">EV / LTM Adj. EBITDA (LTM Q2'26: €3,070m est.)</t>
  </si>
  <si>
    <t xml:space="preserve">EV / LTM FCF (LTM Q2'26: €3,261m, 6-K)</t>
  </si>
  <si>
    <t xml:space="preserve">Memo: unaffected EV / FY26E EBITDA</t>
  </si>
  <si>
    <t xml:space="preserve">Memo: EV / FY26E EBITDA on post-close SBC definition (only non-cash SBC added back)</t>
  </si>
  <si>
    <t xml:space="preserve">SOURCES &amp; USES</t>
  </si>
  <si>
    <t xml:space="preserve">€m</t>
  </si>
  <si>
    <t xml:space="preserve">% total</t>
  </si>
  <si>
    <t xml:space="preserve">x EBITDA</t>
  </si>
  <si>
    <t xml:space="preserve">Uses</t>
  </si>
  <si>
    <t xml:space="preserve">   Equity purchase price</t>
  </si>
  <si>
    <t xml:space="preserve">   Advisory &amp; legal fees</t>
  </si>
  <si>
    <t xml:space="preserve">   Financing fees</t>
  </si>
  <si>
    <t xml:space="preserve">   TLB original issue discount</t>
  </si>
  <si>
    <t xml:space="preserve">Total uses</t>
  </si>
  <si>
    <t xml:space="preserve">Sources</t>
  </si>
  <si>
    <t xml:space="preserve">Tranche split</t>
  </si>
  <si>
    <t xml:space="preserve">   Senior Secured Term Loan A (E+325, 7-yr amortising)</t>
  </si>
  <si>
    <t xml:space="preserve">   Senior Term Loan B (E+400, 8-yr bullet)</t>
  </si>
  <si>
    <t xml:space="preserve">   Senior Unsecured Notes (7.50% fixed, 8-yr)</t>
  </si>
  <si>
    <t xml:space="preserve">   Revolving Credit Facility (€500m, undrawn at close)</t>
  </si>
  <si>
    <t xml:space="preserve">   Total debt (leverage x FY26E EBITDA)</t>
  </si>
  <si>
    <t xml:space="preserve">   Balance sheet cash used</t>
  </si>
  <si>
    <t xml:space="preserve">F48 = cash retained on balance sheet at close</t>
  </si>
  <si>
    <t xml:space="preserve">   Rollover equity (founders + Tencent)</t>
  </si>
  <si>
    <t xml:space="preserve">   Sponsor consortium equity (plug)</t>
  </si>
  <si>
    <t xml:space="preserve">Total sources</t>
  </si>
  <si>
    <t xml:space="preserve">Check: sources − uses</t>
  </si>
  <si>
    <t xml:space="preserve">Implied equity contribution (% of total capitalisation)</t>
  </si>
  <si>
    <t xml:space="preserve">Net leverage at close (x FY26E EBITDA)</t>
  </si>
  <si>
    <t xml:space="preserve">2 | Operating Build – Segment Revenue, Royalties &amp; OpEx</t>
  </si>
  <si>
    <t xml:space="preserve">FY26E = Q1–Q2 actuals (6-K) + Q3 guidance + Q4E | Regional split estimated except Europe (36% of subs, disclosed)</t>
  </si>
  <si>
    <t xml:space="preserve">Close / LTM</t>
  </si>
  <si>
    <t xml:space="preserve">Fiscal year (Dec YE)</t>
  </si>
  <si>
    <t xml:space="preserve">Period (t)</t>
  </si>
  <si>
    <t xml:space="preserve">PREMIUM SUBSCRIBER DRIVERS</t>
  </si>
  <si>
    <t xml:space="preserve">Scenario base subscriber growth (linear fade)</t>
  </si>
  <si>
    <t xml:space="preserve">%</t>
  </si>
  <si>
    <t xml:space="preserve">Premium ARPU growth</t>
  </si>
  <si>
    <t xml:space="preserve">Monthly churn incl. price elasticity</t>
  </si>
  <si>
    <t xml:space="preserve">Elasticity: Δ monthly churn per 1.0 of ARPU growth above neutral</t>
  </si>
  <si>
    <t xml:space="preserve">x</t>
  </si>
  <si>
    <t xml:space="preserve">Input</t>
  </si>
  <si>
    <t xml:space="preserve">Price-neutral ARPU growth</t>
  </si>
  <si>
    <t xml:space="preserve">Incremental annual churn vs. base (drag on net adds)</t>
  </si>
  <si>
    <t xml:space="preserve">North America</t>
  </si>
  <si>
    <t xml:space="preserve">Growth spread</t>
  </si>
  <si>
    <t xml:space="preserve">   Closing Premium subs</t>
  </si>
  <si>
    <t xml:space="preserve">m</t>
  </si>
  <si>
    <t xml:space="preserve">   Average subs</t>
  </si>
  <si>
    <t xml:space="preserve">   Monthly ARPU</t>
  </si>
  <si>
    <t xml:space="preserve">€</t>
  </si>
  <si>
    <t xml:space="preserve">   Premium revenue</t>
  </si>
  <si>
    <t xml:space="preserve">Europe</t>
  </si>
  <si>
    <t xml:space="preserve">Latin America</t>
  </si>
  <si>
    <t xml:space="preserve">Rest of World</t>
  </si>
  <si>
    <t xml:space="preserve">Total closing Premium subscribers</t>
  </si>
  <si>
    <t xml:space="preserve">Average Premium subscribers</t>
  </si>
  <si>
    <t xml:space="preserve">Churned subscribers (memo)</t>
  </si>
  <si>
    <t xml:space="preserve">Implied gross adds (memo)</t>
  </si>
  <si>
    <t xml:space="preserve">Blended monthly ARPU</t>
  </si>
  <si>
    <t xml:space="preserve">Premium revenue</t>
  </si>
  <si>
    <t xml:space="preserve">Premium revenue growth</t>
  </si>
  <si>
    <t xml:space="preserve">AD-SUPPORTED</t>
  </si>
  <si>
    <t xml:space="preserve">Ad-supported MAU growth p.a.</t>
  </si>
  <si>
    <t xml:space="preserve">Ad-supported MAUs (closing)</t>
  </si>
  <si>
    <t xml:space="preserve">Ad-Supported revenue</t>
  </si>
  <si>
    <t xml:space="preserve">Ad revenue per average ad MAU</t>
  </si>
  <si>
    <t xml:space="preserve">€/yr</t>
  </si>
  <si>
    <t xml:space="preserve">TOTAL REVENUE</t>
  </si>
  <si>
    <t xml:space="preserve">Revenue growth</t>
  </si>
  <si>
    <t xml:space="preserve">COST OF REVENUE (royalties scale down from current filing levels)</t>
  </si>
  <si>
    <t xml:space="preserve">Music royalty rate (% Premium revenue)</t>
  </si>
  <si>
    <t xml:space="preserve">Music label &amp; publisher royalties</t>
  </si>
  <si>
    <t xml:space="preserve">Non-music content % (podcasts, audiobooks)</t>
  </si>
  <si>
    <t xml:space="preserve">Non-music content cost</t>
  </si>
  <si>
    <t xml:space="preserve">Other Premium COGS % (payments, delivery, cloud)</t>
  </si>
  <si>
    <t xml:space="preserve">Other Premium COGS</t>
  </si>
  <si>
    <t xml:space="preserve">Premium gross margin</t>
  </si>
  <si>
    <t xml:space="preserve">Ad-Supported gross margin</t>
  </si>
  <si>
    <t xml:space="preserve">Ad-Supported cost of revenue</t>
  </si>
  <si>
    <t xml:space="preserve">Total cost of revenue</t>
  </si>
  <si>
    <t xml:space="preserve">Gross profit</t>
  </si>
  <si>
    <t xml:space="preserve">Gross margin</t>
  </si>
  <si>
    <t xml:space="preserve">OPERATING EXPENSES (glide to scenario targets by FY29E)</t>
  </si>
  <si>
    <t xml:space="preserve">R&amp;D % revenue</t>
  </si>
  <si>
    <t xml:space="preserve">S&amp;M % revenue</t>
  </si>
  <si>
    <t xml:space="preserve">G&amp;A % revenue</t>
  </si>
  <si>
    <t xml:space="preserve">Research &amp; development</t>
  </si>
  <si>
    <t xml:space="preserve">Sales &amp; marketing</t>
  </si>
  <si>
    <t xml:space="preserve">General &amp; administrative</t>
  </si>
  <si>
    <t xml:space="preserve">Total operating expenses</t>
  </si>
  <si>
    <t xml:space="preserve">EBIT</t>
  </si>
  <si>
    <t xml:space="preserve">EBIT margin</t>
  </si>
  <si>
    <t xml:space="preserve">EBITDA, CAPEX &amp; WORKING CAPITAL</t>
  </si>
  <si>
    <t xml:space="preserve">D&amp;A % revenue</t>
  </si>
  <si>
    <t xml:space="preserve">Depreciation &amp; amortisation (in OpEx/COGS)</t>
  </si>
  <si>
    <t xml:space="preserve">SBC / MIP % revenue</t>
  </si>
  <si>
    <t xml:space="preserve">Share-based compensation / MIP expense</t>
  </si>
  <si>
    <t xml:space="preserve">% converted to cash compensation</t>
  </si>
  <si>
    <t xml:space="preserve">Non-cash SBC / MIP</t>
  </si>
  <si>
    <t xml:space="preserve">Adj. EBITDA (EBIT + D&amp;A + non-cash SBC)</t>
  </si>
  <si>
    <t xml:space="preserve">Adj. EBITDA margin</t>
  </si>
  <si>
    <t xml:space="preserve">Capex % revenue</t>
  </si>
  <si>
    <t xml:space="preserve">Capital expenditure</t>
  </si>
  <si>
    <t xml:space="preserve">Net operating working capital % revenue</t>
  </si>
  <si>
    <t xml:space="preserve">Net operating working capital (negative)</t>
  </si>
  <si>
    <t xml:space="preserve">New leases % revenue</t>
  </si>
  <si>
    <t xml:space="preserve">New lease additions</t>
  </si>
  <si>
    <t xml:space="preserve">3 | Integrated Financial Statements (IFRS basis, simplified)</t>
  </si>
  <si>
    <t xml:space="preserve">Income statement → cash flow → balance sheet; debt and interest from Tab 4</t>
  </si>
  <si>
    <t xml:space="preserve">Revenue</t>
  </si>
  <si>
    <t xml:space="preserve">Cost of revenue</t>
  </si>
  <si>
    <t xml:space="preserve">Interest expense (cash)</t>
  </si>
  <si>
    <t xml:space="preserve">Interest income on cash</t>
  </si>
  <si>
    <t xml:space="preserve">Amortisation of financing fees &amp; OID</t>
  </si>
  <si>
    <t xml:space="preserve">Profit before tax</t>
  </si>
  <si>
    <t xml:space="preserve">Net interest expense (tax basis)</t>
  </si>
  <si>
    <t xml:space="preserve">ATAD cap: max(€3m, 30% × tax-EBITDA)</t>
  </si>
  <si>
    <t xml:space="preserve">Disallowed interest carried forward – opening</t>
  </si>
  <si>
    <t xml:space="preserve">Deductible interest</t>
  </si>
  <si>
    <t xml:space="preserve">Disallowed interest carried forward – closing</t>
  </si>
  <si>
    <t xml:space="preserve">Taxable income</t>
  </si>
  <si>
    <t xml:space="preserve">Corporate income tax</t>
  </si>
  <si>
    <t xml:space="preserve">Pillar Two top-up tax (15% GloBE floor)</t>
  </si>
  <si>
    <t xml:space="preserve">Net income</t>
  </si>
  <si>
    <t xml:space="preserve">CASH FLOW STATEMENT</t>
  </si>
  <si>
    <t xml:space="preserve">D&amp;A</t>
  </si>
  <si>
    <t xml:space="preserve">Amortisation of financing fees</t>
  </si>
  <si>
    <t xml:space="preserve">(Increase)/decrease in net working capital</t>
  </si>
  <si>
    <t xml:space="preserve">Cash flow from operations</t>
  </si>
  <si>
    <t xml:space="preserve">Lease principal payments</t>
  </si>
  <si>
    <t xml:space="preserve">Free cash flow before debt service</t>
  </si>
  <si>
    <t xml:space="preserve">Recap: net debt proceeds less dividends paid (net cash effect)</t>
  </si>
  <si>
    <t xml:space="preserve">TLA mandatory amortisation</t>
  </si>
  <si>
    <t xml:space="preserve">TLA optional prepayment (sweep)</t>
  </si>
  <si>
    <t xml:space="preserve">TLB optional prepayment (sweep)</t>
  </si>
  <si>
    <t xml:space="preserve">RCF drawdown / (repayment)</t>
  </si>
  <si>
    <t xml:space="preserve">Net change in cash</t>
  </si>
  <si>
    <t xml:space="preserve">Opening cash</t>
  </si>
  <si>
    <t xml:space="preserve">Closing cash</t>
  </si>
  <si>
    <t xml:space="preserve">BALANCE SHEET (pro forma at close in FY26E column)</t>
  </si>
  <si>
    <t xml:space="preserve">Cash and equivalents</t>
  </si>
  <si>
    <t xml:space="preserve">Net operating working capital</t>
  </si>
  <si>
    <t xml:space="preserve">PP&amp;E and right-of-use assets</t>
  </si>
  <si>
    <t xml:space="preserve">Long-term investments</t>
  </si>
  <si>
    <t xml:space="preserve">Other non-current assets (DTA, finance lease rec., restricted)</t>
  </si>
  <si>
    <t xml:space="preserve">Goodwill &amp; intangibles (incl. transaction goodwill)</t>
  </si>
  <si>
    <t xml:space="preserve">Capitalised financing fees &amp; OID</t>
  </si>
  <si>
    <t xml:space="preserve">Total assets</t>
  </si>
  <si>
    <t xml:space="preserve">Recap notes (dividend recap module)</t>
  </si>
  <si>
    <t xml:space="preserve">Term Loan A</t>
  </si>
  <si>
    <t xml:space="preserve">Term Loan B</t>
  </si>
  <si>
    <t xml:space="preserve">Senior Unsecured Notes</t>
  </si>
  <si>
    <t xml:space="preserve">Revolving Credit Facility</t>
  </si>
  <si>
    <t xml:space="preserve">Lease liabilities</t>
  </si>
  <si>
    <t xml:space="preserve">Other liabilities (provisions, derivatives, DTL)</t>
  </si>
  <si>
    <t xml:space="preserve">Total liabilities</t>
  </si>
  <si>
    <t xml:space="preserve">Shareholders' equity</t>
  </si>
  <si>
    <t xml:space="preserve">Total liabilities &amp; equity</t>
  </si>
  <si>
    <t xml:space="preserve">CHECK: assets − (liabilities + equity)</t>
  </si>
  <si>
    <t xml:space="preserve">4 | Debt Schedule – Multi-Tranche European Capital Structure &amp; Cash Sweep</t>
  </si>
  <si>
    <t xml:space="preserve">Circularity: CircOn=1 uses average balances (enable iterative calc: 100 iterations, 0.001) or run macro SolveInterestCircularity</t>
  </si>
  <si>
    <t xml:space="preserve">RATES</t>
  </si>
  <si>
    <t xml:space="preserve">3M EURIBOR forward curve</t>
  </si>
  <si>
    <t xml:space="preserve">Input – refresh from Bloomberg EUR 3M forwards</t>
  </si>
  <si>
    <t xml:space="preserve">EURIBOR incl. scenario shift</t>
  </si>
  <si>
    <t xml:space="preserve">Yield on cash deposits</t>
  </si>
  <si>
    <t xml:space="preserve">TRANCHE TERMS</t>
  </si>
  <si>
    <t xml:space="preserve">Size €m</t>
  </si>
  <si>
    <t xml:space="preserve">Margin / coupon</t>
  </si>
  <si>
    <t xml:space="preserve">Maturity (FY)</t>
  </si>
  <si>
    <t xml:space="preserve">Amort. % p.a.</t>
  </si>
  <si>
    <t xml:space="preserve">Term Loan A (senior secured, amortising)</t>
  </si>
  <si>
    <t xml:space="preserve">Term Loan B (senior secured, bullet, 0% floor)</t>
  </si>
  <si>
    <t xml:space="preserve">Senior Unsecured Notes (fixed, NC3)</t>
  </si>
  <si>
    <t xml:space="preserve">RCF margin (drawn)</t>
  </si>
  <si>
    <t xml:space="preserve">RCF commitment (limit) | undrawn fee</t>
  </si>
  <si>
    <t xml:space="preserve">CASH AVAILABLE FOR DEBT SWEEP</t>
  </si>
  <si>
    <t xml:space="preserve">Less: TLA mandatory amortisation</t>
  </si>
  <si>
    <t xml:space="preserve">Cash available after mandatory debt service and minimum cash</t>
  </si>
  <si>
    <t xml:space="preserve">Cash available for optional sweep</t>
  </si>
  <si>
    <t xml:space="preserve">Cash applied to sweep</t>
  </si>
  <si>
    <t xml:space="preserve">TERM LOAN A  (E + 325 bps, 7-yr, 10% p.a. amortisation, balloon FY33)</t>
  </si>
  <si>
    <t xml:space="preserve">Opening balance</t>
  </si>
  <si>
    <t xml:space="preserve">Mandatory amortisation</t>
  </si>
  <si>
    <t xml:space="preserve">Optional prepayment (sweep)</t>
  </si>
  <si>
    <t xml:space="preserve">Interest expense</t>
  </si>
  <si>
    <t xml:space="preserve">Closing balance</t>
  </si>
  <si>
    <t xml:space="preserve">TERM LOAN B  (E + 400 bps, 8-yr bullet, swept after TLA)</t>
  </si>
  <si>
    <t xml:space="preserve">SENIOR UNSECURED NOTES  (7.50% fixed, 8-yr, non-call 3)</t>
  </si>
  <si>
    <t xml:space="preserve">Interest expense (fixed – no circularity)</t>
  </si>
  <si>
    <t xml:space="preserve">REVOLVING CREDIT FACILITY  (€500m, E + 300 bps, 37.5 bps undrawn)</t>
  </si>
  <si>
    <t xml:space="preserve">Drawdown / (repayment)</t>
  </si>
  <si>
    <t xml:space="preserve">Interest + commitment fee</t>
  </si>
  <si>
    <t xml:space="preserve">LEASE LIABILITIES (IFRS 16)</t>
  </si>
  <si>
    <t xml:space="preserve">Principal repayment</t>
  </si>
  <si>
    <t xml:space="preserve">Closing balance (incl. new leases)</t>
  </si>
  <si>
    <t xml:space="preserve">TOTALS &amp; CREDIT STATISTICS</t>
  </si>
  <si>
    <t xml:space="preserve">Total cash interest expense</t>
  </si>
  <si>
    <t xml:space="preserve">Amortisation of financing fees &amp; OID (7 years)</t>
  </si>
  <si>
    <t xml:space="preserve">Memo: interest at opening balances (for convergence test)</t>
  </si>
  <si>
    <t xml:space="preserve">Residual →</t>
  </si>
  <si>
    <t xml:space="preserve">Check: |reported interest − interest recomputed on current avg balances| (CircOn=1 only)</t>
  </si>
  <si>
    <t xml:space="preserve">Total debt</t>
  </si>
  <si>
    <t xml:space="preserve">Net debt (excl. leases)</t>
  </si>
  <si>
    <t xml:space="preserve">Adj. EBITDA</t>
  </si>
  <si>
    <t xml:space="preserve">Gross leverage (total debt / EBITDA)</t>
  </si>
  <si>
    <t xml:space="preserve">Net leverage (net debt / EBITDA)</t>
  </si>
  <si>
    <t xml:space="preserve">Interest cover (EBITDA / cash interest)</t>
  </si>
  <si>
    <t xml:space="preserve">Cumulative debt paydown (% of opening)</t>
  </si>
  <si>
    <t xml:space="preserve">TLA springing covenant test (net leverage ≤ 7.0x)</t>
  </si>
  <si>
    <t xml:space="preserve">test</t>
  </si>
  <si>
    <t xml:space="preserve">Input threshold in D69</t>
  </si>
  <si>
    <t xml:space="preserve">   Covenant threshold</t>
  </si>
  <si>
    <t xml:space="preserve">DIVIDEND RECAP / EXCESS-CASH PAYOUT MODULE  (switch C73 – shipped OFF, so base case is unchanged)</t>
  </si>
  <si>
    <t xml:space="preserve">Recap switch (1 = on, 0 = off)</t>
  </si>
  <si>
    <t xml:space="preserve">Master switch. When 0 every line below is zero.</t>
  </si>
  <si>
    <t xml:space="preserve">Recap year (FY, executed at year-end)</t>
  </si>
  <si>
    <t xml:space="preserve">ASSUMPTION: first year all term loans are repaid is FY2030E, so FY2031E is the earliest "clean" recap.</t>
  </si>
  <si>
    <t xml:space="preserve">Target gross leverage after recap (x that year's Adj. EBITDA)</t>
  </si>
  <si>
    <t xml:space="preserve">ASSUMPTION: new notes sized so total debt = this multiple; zero issuance if already above.</t>
  </si>
  <si>
    <t xml:space="preserve">Payout of excess cash above minimum cash (%)</t>
  </si>
  <si>
    <t xml:space="preserve">ASSUMPTION: share of post-sweep cash above Dashboard C13 distributed to equity.</t>
  </si>
  <si>
    <t xml:space="preserve">Coupon on recap notes (fixed)</t>
  </si>
  <si>
    <t xml:space="preserve">ASSUMPTION: set equal to the 7.50% entry notes; no market evidence in the file for FY31 pricing.</t>
  </si>
  <si>
    <t xml:space="preserve">Recap financing fee (% of new debt, cash, charged to equity)</t>
  </si>
  <si>
    <t xml:space="preserve">ASSUMPTION: same 2.25% as entry financing fee; not tax-deducted (conservative simplification).</t>
  </si>
  <si>
    <t xml:space="preserve">Repeat excess-cash payout every year from recap year (1) or recap year only (0)</t>
  </si>
  <si>
    <t xml:space="preserve">ASSUMPTION: 1 = cash above minimum is paid out each year after the recap year too.</t>
  </si>
  <si>
    <t xml:space="preserve">Recap flag (1 in recap year)</t>
  </si>
  <si>
    <t xml:space="preserve">Recap notes – opening balance</t>
  </si>
  <si>
    <t xml:space="preserve">New recap notes issued</t>
  </si>
  <si>
    <t xml:space="preserve">Recap notes – closing balance</t>
  </si>
  <si>
    <t xml:space="preserve">Interest on recap notes (on opening balance)</t>
  </si>
  <si>
    <t xml:space="preserve">Financing fees on new notes (cash)</t>
  </si>
  <si>
    <t xml:space="preserve">Cash before dividend (opening + FCF + debt flows)</t>
  </si>
  <si>
    <t xml:space="preserve">Total dividend to equity (recap proceeds net of fees + excess cash)</t>
  </si>
  <si>
    <t xml:space="preserve">Memo: excess-cash payout component</t>
  </si>
  <si>
    <t xml:space="preserve">Memo: recap proceeds distributed (net of fees)</t>
  </si>
  <si>
    <t xml:space="preserve">Mechanics: new notes are issued at year-end, fees are paid in cash, proceeds are paid straight out as a dividend; interest starts the following year (opening-balance basis, so no extra circularity). Sweep runs first, so excess cash is only paid out once term loans are gone.</t>
  </si>
  <si>
    <t xml:space="preserve">VBA REMOVED (05-Oct-2026): rows 72–130 previously held macro source as plain text. A .xlsx cannot contain or run VBA, the code was untested here, and the check it fed (old M60) was a hard-coded 0.</t>
  </si>
  <si>
    <t xml:space="preserve">Replacements: (1) CircOn toggle (Dashboard C10) + workbook iterative calc (on, 1000 iterations); (2) real convergence residual in row 60 / M60 feeding Dashboard D47; (3) external Python/LibreOffice harness harmony_rerun.py for scenario snapshots and sensitivity grids.</t>
  </si>
  <si>
    <t xml:space="preserve">5 | Returns Analysis &amp; Sensitivities</t>
  </si>
  <si>
    <t xml:space="preserve">Exit at FY2033E (7-year hold). Gross = all equity after MIP; Net = LP view on sponsor cash only after 1.5% annual fee on invested capital and 20% carry over 8% pref (full catch-up). Fees are paid annually (rows 33); carry is crystallised at exit. Interim recap dividends (if switched on) flow through rows 20/33.</t>
  </si>
  <si>
    <t xml:space="preserve">EXIT VALUATION BRIDGE</t>
  </si>
  <si>
    <t xml:space="preserve">Exit Adj. EBITDA (FY33E)</t>
  </si>
  <si>
    <t xml:space="preserve">Exit enterprise value</t>
  </si>
  <si>
    <t xml:space="preserve">FY33E free cash flow before debt service</t>
  </si>
  <si>
    <t xml:space="preserve">Implied exit EV / FCF (cross-check)</t>
  </si>
  <si>
    <t xml:space="preserve">Less: total debt</t>
  </si>
  <si>
    <t xml:space="preserve">Plus: cash and long-term investments (non-operating, netted out of EV at entry)</t>
  </si>
  <si>
    <t xml:space="preserve">Less: lease liabilities</t>
  </si>
  <si>
    <t xml:space="preserve">Exit equity value (pre-MIP)</t>
  </si>
  <si>
    <t xml:space="preserve">Total equity invested (sponsor + rollover)</t>
  </si>
  <si>
    <t xml:space="preserve">Less: Management Incentive Plan</t>
  </si>
  <si>
    <t xml:space="preserve">Equity proceeds to sponsor &amp; rollover</t>
  </si>
  <si>
    <t xml:space="preserve">Sponsor-only proceeds / invested (pro rata)</t>
  </si>
  <si>
    <t xml:space="preserve">Equity CF</t>
  </si>
  <si>
    <t xml:space="preserve">Memo: cumulative interim dividends to equity (recap module)</t>
  </si>
  <si>
    <t xml:space="preserve">NET RETURNS (LP VIEW – sponsor cash only; rollover equity pays no fee or carry; fee paid annually)</t>
  </si>
  <si>
    <t xml:space="preserve">Management fee (p.a. on invested)</t>
  </si>
  <si>
    <t xml:space="preserve">Carried interest</t>
  </si>
  <si>
    <t xml:space="preserve">Preferred return (hurdle)</t>
  </si>
  <si>
    <t xml:space="preserve">Hold period (years)</t>
  </si>
  <si>
    <t xml:space="preserve">Management fees over hold (1.5% p.a. × sponsor cash)</t>
  </si>
  <si>
    <t xml:space="preserve">Sponsor profit after fees</t>
  </si>
  <si>
    <t xml:space="preserve">Preferred return amount (on sponsor cash)</t>
  </si>
  <si>
    <t xml:space="preserve">Carry (full catch-up)</t>
  </si>
  <si>
    <t xml:space="preserve">Net LP cash flows</t>
  </si>
  <si>
    <t xml:space="preserve">VALUE CREATION ATTRIBUTION</t>
  </si>
  <si>
    <t xml:space="preserve">Entry Adj. EBITDA (FY26E)</t>
  </si>
  <si>
    <t xml:space="preserve">Entry EV / EBITDA</t>
  </si>
  <si>
    <t xml:space="preserve">EBITDA growth × entry multiple</t>
  </si>
  <si>
    <t xml:space="preserve">Multiple expansion / (compression)</t>
  </si>
  <si>
    <t xml:space="preserve">Deleveraging &amp; cash build (net debt incl. LT investments)</t>
  </si>
  <si>
    <t xml:space="preserve">Fees &amp; other leakage (plug = advisory + financing fees + OID)</t>
  </si>
  <si>
    <t xml:space="preserve">Total value created (exit equity − invested)</t>
  </si>
  <si>
    <t xml:space="preserve">SENSITIVITIES – FULL MODEL RE-RUNS (STATIC VALUES, NOT LIVE FORMULAS)</t>
  </si>
  <si>
    <t xml:space="preserve">Replaces the former closed-form engine (rows 43–92). Every cell below is the output of a complete recalculation of this workbook (LibreOffice engine, 06-Oct-2026, v3) with the stated Dashboard input(s) changed; all eight audit checks were read on every run.</t>
  </si>
  <si>
    <t xml:space="preserve">Exit multiple: Dashboard C21 override. Premium: Dashboard C7. Gross-margin axis: moved through Dashboard E29 (royalty step-down, bps p.a.), solved so FY33E gross margin hits the row value; the bps used is shown in column K.</t>
  </si>
  <si>
    <t xml:space="preserve">Entry-multiple axis (Tables 4–5): Dashboard C7 solved (negative premium) so Tab 1 C28 hits the row value; debt stays at 6.0x FY26E EBITDA = €19.7bn. Hypothetical – not achievable with any control premium.</t>
  </si>
  <si>
    <t xml:space="preserve">To refresh: run harmony_rerun.py (delivered alongside this file). Green fill = gross MoIC ≥ 3.58x (the 7-year equivalent of a 20% gross IRR) or net IRR ≥ 20%.</t>
  </si>
  <si>
    <t xml:space="preserve">TABLE 1 – GROSS MoIC: Exit EV/EBITDA × FY33E gross margin (full re-run)</t>
  </si>
  <si>
    <t xml:space="preserve">Exit EV / EBITDA →</t>
  </si>
  <si>
    <t xml:space="preserve">FY33E GM ↓</t>
  </si>
  <si>
    <t xml:space="preserve">Royalty bps p.a.</t>
  </si>
  <si>
    <t xml:space="preserve">TABLE 2 – NET IRR (LP): Exit EV/EBITDA × FY33E gross margin (full re-run)</t>
  </si>
  <si>
    <t xml:space="preserve">Cells at exactly 8.0% sit in the GP catch-up zone: LPs get the 8% preferred return and the GP takes 100% of profit until carry equals 20% of total profit.</t>
  </si>
  <si>
    <t xml:space="preserve">TABLE 3 – NET IRR (LP): Offer premium × Exit EV/EBITDA (full re-run)</t>
  </si>
  <si>
    <t xml:space="preserve">Premium ↓</t>
  </si>
  <si>
    <t xml:space="preserve">Entry EV/EBITDA</t>
  </si>
  <si>
    <t xml:space="preserve">TABLE 4 – GROSS MoIC: Entry EV/EBITDA (hypothetical) × Exit EV/EBITDA (full re-run)</t>
  </si>
  <si>
    <t xml:space="preserve">Entry multiple ↓</t>
  </si>
  <si>
    <t xml:space="preserve">Implied offer $/sh</t>
  </si>
  <si>
    <t xml:space="preserve">TABLE 5 – NET IRR (LP): Entry EV/EBITDA (hypothetical) × Exit EV/EBITDA (full re-run)</t>
  </si>
  <si>
    <t xml:space="preserve">Entry multiples of 12–18x sit 23–45% below the unaffected share price (offer $272–$379 vs $490.30); Table 3 is the only executable entry sensitivity. Tables 4–5 are hypothetical.</t>
  </si>
  <si>
    <t xml:space="preserve">TABLE 6 (NEW) – GROSS IRR: Entry leverage × Exit EV/EBITDA (full re-run; red = an audit check fails, i.e. covenant breach)</t>
  </si>
  <si>
    <t xml:space="preserve">Leverage ↓</t>
  </si>
  <si>
    <t xml:space="preserve">Each extra turn of leverage adds only ~0.2pp of gross IRR (equity falls from €91.0bn at 6x to €78.2bn at 10x) while interest cover falls from 3.0x to 1.8x. See 6_IC_Analysis section B.</t>
  </si>
  <si>
    <t xml:space="preserve">6 | IC Analysis – what must be true, leverage, dividend recap, size, ownership, minority alternative</t>
  </si>
  <si>
    <t xml:space="preserve">Sections A–C and E–G are STATIC outputs of full workbook re-runs or sourced facts (grey fill). Section D is LIVE. € millions unless stated. Run date 06-Oct-2026 (v3).</t>
  </si>
  <si>
    <t xml:space="preserve">A. WHAT HAS TO BE TRUE FOR A 20% GROSS IRR (one lever at a time, everything else = Base; 7-year hold)</t>
  </si>
  <si>
    <t xml:space="preserve">Lever</t>
  </si>
  <si>
    <t xml:space="preserve">Base value</t>
  </si>
  <si>
    <t xml:space="preserve">Needed for 20%</t>
  </si>
  <si>
    <t xml:space="preserve">Total equity €bn</t>
  </si>
  <si>
    <t xml:space="preserve">Sponsor equity €bn</t>
  </si>
  <si>
    <t xml:space="preserve">Realistic?</t>
  </si>
  <si>
    <t xml:space="preserve">Offer premium to unaffected ($490.30)</t>
  </si>
  <si>
    <t xml:space="preserve">No – offer would be $428, 13% below market</t>
  </si>
  <si>
    <t xml:space="preserve">Exit EV / EBITDA (entry 32.5x)</t>
  </si>
  <si>
    <t xml:space="preserve">No – 21% ABOVE entry multiple</t>
  </si>
  <si>
    <t xml:space="preserve">FY33E gross margin (royalty step-down bps p.a.)</t>
  </si>
  <si>
    <t xml:space="preserve">No – 340 bps p.a. vs 70; GM today 33.4%</t>
  </si>
  <si>
    <t xml:space="preserve">Entry leverage (x FY26E EBITDA)</t>
  </si>
  <si>
    <t xml:space="preserve">none (15x shown)</t>
  </si>
  <si>
    <t xml:space="preserve">No – 15x gives only 13.2% and covenant fails from 10x</t>
  </si>
  <si>
    <t xml:space="preserve">Hold period at 22x exit</t>
  </si>
  <si>
    <t xml:space="preserve">none</t>
  </si>
  <si>
    <t xml:space="preserve">No – best case 11.1% (FY33); shorter holds are worse</t>
  </si>
  <si>
    <t xml:space="preserve">Hold period if exit multiple = entry 32.5x (no de-rating)</t>
  </si>
  <si>
    <t xml:space="preserve">FY2029 (3 yrs)</t>
  </si>
  <si>
    <t xml:space="preserve">No – needs zero de-rating and a 3-year flip</t>
  </si>
  <si>
    <t xml:space="preserve">Structure: dividend recap / excess-cash payout (best tested)</t>
  </si>
  <si>
    <t xml:space="preserve">recap FY30 to 6.0x</t>
  </si>
  <si>
    <t xml:space="preserve">No – adds ≤0.6pp; debt at exit €36bn</t>
  </si>
  <si>
    <t xml:space="preserve">Operating case: Upside (GM 42.1%, ARPU 5%, 25x exit)</t>
  </si>
  <si>
    <t xml:space="preserve">Upside @25x</t>
  </si>
  <si>
    <t xml:space="preserve">No – 17.7% even if everything goes right</t>
  </si>
  <si>
    <t xml:space="preserve">Upside operating case: exit multiple needed</t>
  </si>
  <si>
    <t xml:space="preserve">22.0x</t>
  </si>
  <si>
    <t xml:space="preserve">No – 29.1x vs 25x upside assumption</t>
  </si>
  <si>
    <t xml:space="preserve">Memo's own 'what you have to believe' bundle (GM 44%, 25x, ARPU 5%, zero churn penalty)</t>
  </si>
  <si>
    <t xml:space="preserve">20% claimed</t>
  </si>
  <si>
    <t xml:space="preserve">reaches 17.4%</t>
  </si>
  <si>
    <t xml:space="preserve">No – memo text (§8) overstates: bundle does NOT reach 20%</t>
  </si>
  <si>
    <t xml:space="preserve">Everything at once: Upside + 25x + 8x leverage + recap FY30 to 6x</t>
  </si>
  <si>
    <t xml:space="preserve">—</t>
  </si>
  <si>
    <t xml:space="preserve">No – 19.5%; same structure on Downside loses money (see D below)</t>
  </si>
  <si>
    <t xml:space="preserve">   Same structure, Downside operating case at 8x leverage (no recap)</t>
  </si>
  <si>
    <t xml:space="preserve">Peak net leverage 6.7x vs 7.0x covenant</t>
  </si>
  <si>
    <t xml:space="preserve">For reference: buy at zero premium (offer = $490.30)</t>
  </si>
  <si>
    <t xml:space="preserve">Not a control deal – no seller accepts</t>
  </si>
  <si>
    <t xml:space="preserve">Conclusion: no single lever, and no realistic combination, reaches 20% at a 30% premium. Only the entry price does it, and that price is below the market.</t>
  </si>
  <si>
    <t xml:space="preserve">B. IDLE-CASH / LEVERAGE TEST – entry leverage 4x–15x (full re-runs, Base operating case, 22x exit)</t>
  </si>
  <si>
    <t xml:space="preserve">Total debt €bn</t>
  </si>
  <si>
    <t xml:space="preserve">FY27E interest cover</t>
  </si>
  <si>
    <t xml:space="preserve">FY27E net leverage</t>
  </si>
  <si>
    <t xml:space="preserve">FY27E ATAD disallowed €m</t>
  </si>
  <si>
    <t xml:space="preserve">7.0x covenant breaches</t>
  </si>
  <si>
    <t xml:space="preserve">Master check</t>
  </si>
  <si>
    <t xml:space="preserve">OK</t>
  </si>
  <si>
    <t xml:space="preserve">ERROR</t>
  </si>
  <si>
    <t xml:space="preserve">Read-across: leverage is a weak lever. +1 turn ≈ +0.2pp gross IRR but −0.4x interest cover. FY27E ATAD cap (30% of tax-EBITDA = €1,127m) already bites at 6x (€167m disallowed, carried forward) and bites harder above it. Covenant (TLA springing 7.0x net) breaks at 10x. RCF is untouched up to 12x because the cash sweep absorbs FCF.</t>
  </si>
  <si>
    <t xml:space="preserve">C. DIVIDEND RECAP / EXCESS-CASH PAYOUT TEST (module in 4_Debt_Schedule rows 72–93; 6.0x entry leverage; Base case; 22x exit)</t>
  </si>
  <si>
    <t xml:space="preserve">Case</t>
  </si>
  <si>
    <t xml:space="preserve">Dividends paid €bn</t>
  </si>
  <si>
    <t xml:space="preserve">Debt at exit €bn</t>
  </si>
  <si>
    <t xml:space="preserve">Min interest cover after recap</t>
  </si>
  <si>
    <t xml:space="preserve">Peak net leverage after recap</t>
  </si>
  <si>
    <t xml:space="preserve">Max net interest ÷ ATAD cap</t>
  </si>
  <si>
    <t xml:space="preserve">Max ATAD carry-fwd €m</t>
  </si>
  <si>
    <t xml:space="preserve">Δ gross IRR vs none (pp)</t>
  </si>
  <si>
    <t xml:space="preserve">No recap (base)</t>
  </si>
  <si>
    <t xml:space="preserve">Pay out excess cash from FY30 (no new debt)</t>
  </si>
  <si>
    <t xml:space="preserve">Pay out excess cash from FY31 (no new debt)</t>
  </si>
  <si>
    <t xml:space="preserve">Recap FY29 to 5.0x + excess cash</t>
  </si>
  <si>
    <t xml:space="preserve">Recap FY30 to 3.0x + excess cash</t>
  </si>
  <si>
    <t xml:space="preserve">Recap FY30 to 4.0x + excess cash</t>
  </si>
  <si>
    <t xml:space="preserve">Recap FY30 to 5.0x + excess cash</t>
  </si>
  <si>
    <t xml:space="preserve">Recap FY30 to 6.0x + excess cash</t>
  </si>
  <si>
    <t xml:space="preserve">Recap FY31 to 4.0x + excess cash</t>
  </si>
  <si>
    <t xml:space="preserve">Recap FY31 to 5.0x + excess cash</t>
  </si>
  <si>
    <t xml:space="preserve">Recap FY31 to 6.0x + excess cash</t>
  </si>
  <si>
    <t xml:space="preserve">7.0x entry leverage + recap FY30 to 5.0x</t>
  </si>
  <si>
    <t xml:space="preserve">Read-across: the ~€20bn of exit cash is a real inefficiency, but fixing it is worth at most +0.6pp of gross IRR (11.1% → 11.7%) because the cash only earns 2.0% (4_Debt_Schedule E8) and the recap debt costs 7.5%. Gross MoIC FALLS (2.09x → 2.03x). The ATAD cap (net interest ≤ 30% of tax-EBITDA) starts to bind once recap leverage reaches ≥5x; interest cover drops to 2.5x–3.0x at 5–6x. A recap is a cash-timing tool, not a returns engine.</t>
  </si>
  <si>
    <t xml:space="preserve">D. HOLD PERIOD × EXIT MULTIPLE – LIVE FORMULAS (valid with recap switch OFF; exit at year-end of the stated FY)</t>
  </si>
  <si>
    <t xml:space="preserve">GROSS IRR (after 8% MIP)</t>
  </si>
  <si>
    <t xml:space="preserve">← last column = entry multiple (no de-rating)</t>
  </si>
  <si>
    <t xml:space="preserve">GROSS MoIC</t>
  </si>
  <si>
    <t xml:space="preserve">Check: FY33E / 22x cell equals 5_Returns_Sensitivities C19 →</t>
  </si>
  <si>
    <t xml:space="preserve">Read-across: at 22x no holding period reaches 20%; shorter holds are worse because the multiple compression is front-loaded. Only an exit at the 32.5x entry multiple within ~3 years reaches 20% – i.e. a bet that the premium itself is recouped.</t>
  </si>
  <si>
    <t xml:space="preserve">E. REALISM OF SIZE vs LARGEST PRECEDENT BUYOUTS (sourced, static; USD bn)</t>
  </si>
  <si>
    <t xml:space="preserve">Deal</t>
  </si>
  <si>
    <t xml:space="preserve">Year</t>
  </si>
  <si>
    <t xml:space="preserve">Enterprise value $bn</t>
  </si>
  <si>
    <t xml:space="preserve">Total equity $bn</t>
  </si>
  <si>
    <t xml:space="preserve">Debt $bn</t>
  </si>
  <si>
    <t xml:space="preserve">Harmony EV ÷ deal</t>
  </si>
  <si>
    <t xml:space="preserve">Harmony total equity ÷ deal</t>
  </si>
  <si>
    <t xml:space="preserve">Source / status</t>
  </si>
  <si>
    <t xml:space="preserve">Project Harmony (this model; € converted at Dashboard C9)</t>
  </si>
  <si>
    <t xml:space="preserve">2026E</t>
  </si>
  <si>
    <t xml:space="preserve">   of which new sponsor cash (excl. rollover)</t>
  </si>
  <si>
    <t xml:space="preserve">Electronic Arts (Silver Lake / PIF / Affinity)</t>
  </si>
  <si>
    <t xml:space="preserve">2025–26</t>
  </si>
  <si>
    <t xml:space="preserve">Press: ~$36bn equity incl. PIF 9.9% rollover; $20bn JPM debt ($18bn funded at close); reported closed after approvals 30-Jul. thewrap.com; paperjam.lu</t>
  </si>
  <si>
    <t xml:space="preserve">TXU / Energy Future Holdings (KKR / TPG / GS)</t>
  </si>
  <si>
    <t xml:space="preserve">2007</t>
  </si>
  <si>
    <t xml:space="preserve">EV ~$45bn; equity ~$8bn per case-study site (secondary source – verify); Chapter 11 in 2014. ibinterviewquestions.com; dealroom.net</t>
  </si>
  <si>
    <t xml:space="preserve">HCA (Bain / KKR / Merrill)</t>
  </si>
  <si>
    <t xml:space="preserve">2006</t>
  </si>
  <si>
    <t xml:space="preserve">EV only (dealroom.net). Equity not verified here.</t>
  </si>
  <si>
    <t xml:space="preserve">Hilton (Blackstone)</t>
  </si>
  <si>
    <t xml:space="preserve">Dell (Silver Lake / Michael Dell)</t>
  </si>
  <si>
    <t xml:space="preserve">2013</t>
  </si>
  <si>
    <t xml:space="preserve">Read-across: Harmony would be ~2.2x the EV of EA (the largest LBO on record) and needs ~2.9x its total equity, or ~1.9x if only the new sponsor cash is compared with EA's $36bn (which itself includes a rollover). The memo's "larger than any LBO in history" is correct. Single-sponsor feasibility: none – needs a club of sovereign/pension co-underwriters.</t>
  </si>
  <si>
    <t xml:space="preserve">F. FOUNDER / TENCENT ROLLOVER AND GOVERNANCE FEASIBILITY (sourced from FY2025 Form 20-F ownership table via SEC filing; static)</t>
  </si>
  <si>
    <t xml:space="preserve">Holder</t>
  </si>
  <si>
    <t xml:space="preserve">% ordinary shares</t>
  </si>
  <si>
    <t xml:space="preserve">% total voting power</t>
  </si>
  <si>
    <t xml:space="preserve">Note</t>
  </si>
  <si>
    <t xml:space="preserve">Martin Lorentzon</t>
  </si>
  <si>
    <t xml:space="preserve">20-F ownership table (SEC): 9.3% of shares, 61.3% of beneficiary certificates</t>
  </si>
  <si>
    <t xml:space="preserve">Daniel Ek</t>
  </si>
  <si>
    <t xml:space="preserve">Secondary sources quoting the 20-F table (techbloat.com, aifundingtracker.com) – verify against the filing</t>
  </si>
  <si>
    <t xml:space="preserve">Tencent entities</t>
  </si>
  <si>
    <t xml:space="preserve">Secondary sources: ~8.1% of shares; voting under irrevocable proxy held by Ek's D.G.E. (musicbusinessworldwide.com)</t>
  </si>
  <si>
    <t xml:space="preserve">Combined economic stake (Lorentzon + Ek + Tencent)</t>
  </si>
  <si>
    <t xml:space="preserve">Founders alone ≈ 69% of votes: no deal without both. Cannot be overridden by a premium.</t>
  </si>
  <si>
    <t xml:space="preserve">Value of that stake at offer (€m) = % × basic shares × offer price €</t>
  </si>
  <si>
    <t xml:space="preserve">Model rollover assumption (€m) – 1_Transaction_Summary C49</t>
  </si>
  <si>
    <t xml:space="preserve">Rollover as % of their stake</t>
  </si>
  <si>
    <t xml:space="preserve">Rollover as % of total new equity (91.0bn)</t>
  </si>
  <si>
    <t xml:space="preserve">Cash taken out by founders/Tencent at offer (€m)</t>
  </si>
  <si>
    <t xml:space="preserve">Read-across: the model's 27% rollover (27% of the €116.8bn equity price) ≈ 88% of the three holders' combined economic stake, i.e. they are assumed to roll almost everything at the OFFER price, take a ~€4bn cash-out, and accept a consortium that puts in €59.5bn of new cash. They keep dual-class voting power today; in a TopCo they would demand governance rights (board seats, veto over exit/recap/leverage), which the memo treats as an assumption, not a fact.</t>
  </si>
  <si>
    <t xml:space="preserve">G. MINORITY / CONVERTIBLE ALTERNATIVE – model-derived illustration (NOT part of the original model; static inputs + live formulas)</t>
  </si>
  <si>
    <t xml:space="preserve">Run basis: premium 0%, entry leverage 0x, MIP 0%, advisory fees 0 → all-equity, buy at unaffected price; Base operating case; exit FY33E. Cash is retained (no buybacks).</t>
  </si>
  <si>
    <t xml:space="preserve">Exit EV / EBITDA</t>
  </si>
  <si>
    <t xml:space="preserve">Exit equity value – unlevered run (€m, static)</t>
  </si>
  <si>
    <t xml:space="preserve">Fully diluted shares in that run (m, static)</t>
  </si>
  <si>
    <t xml:space="preserve">Exit value per share (€)</t>
  </si>
  <si>
    <t xml:space="preserve">Unlevered buy-and-hold gross IRR – model run (static; uses €7.0bn of company cash at close)</t>
  </si>
  <si>
    <t xml:space="preserve">Convertible preferred: payoff per €100 par at exit (€)</t>
  </si>
  <si>
    <t xml:space="preserve">Convertible preferred: IRR</t>
  </si>
  <si>
    <t xml:space="preserve">   inputs → PIK coupon</t>
  </si>
  <si>
    <t xml:space="preserve">Memo §1 Alternative A</t>
  </si>
  <si>
    <t xml:space="preserve">   inputs → conversion premium to unaffected</t>
  </si>
  <si>
    <t xml:space="preserve">   conversion price (€/share)</t>
  </si>
  <si>
    <t xml:space="preserve">   unaffected price (€/share)</t>
  </si>
  <si>
    <t xml:space="preserve">Exit price needed for a 12% / 14% IRR (€/share)</t>
  </si>
  <si>
    <t xml:space="preserve">   as share-price CAGR from unaffected (12% / 14% cases)</t>
  </si>
  <si>
    <t xml:space="preserve">Read-across: the convertible's CONTRACTED floor is the 6% PIK, not 12–14%. 12–14% only arrives if the share price compounds at roughly the rates in row 108, which needs the deal team's operating case to be delivered AND an exit multiple of roughly 14x (for 12%) to 17x (for 14%) on row 99 prices. The memo's "12–14% contracted floor" is mislabelled. Row 100 also shows that the unlevered public-equity route earns 11–17% on the same operating case – the control premium and leverage are what destroy the return.</t>
  </si>
  <si>
    <t xml:space="preserve">7 | Assumptions Register – what the model assumes, where, on what basis, and how much it matters</t>
  </si>
  <si>
    <t xml:space="preserve">Basis tags: FILE = figure in the 6-K / 20-F as quoted in the memo; ESTIMATE = deal-team estimate pending 20-F notes; ASSUMPTION = judgement with no evidence in the file. Sensitivities = gross IRR from full model re-runs (06-Oct-2026), one input changed, rest Base (11.1%).</t>
  </si>
  <si>
    <t xml:space="preserve">#</t>
  </si>
  <si>
    <t xml:space="preserve">Assumption</t>
  </si>
  <si>
    <t xml:space="preserve">Model value</t>
  </si>
  <si>
    <t xml:space="preserve">Cell(s)</t>
  </si>
  <si>
    <t xml:space="preserve">Basis</t>
  </si>
  <si>
    <t xml:space="preserve">Evidence in the file / what it implies</t>
  </si>
  <si>
    <t xml:space="preserve">Sensitivity (gross IRR, full re-run)</t>
  </si>
  <si>
    <t xml:space="preserve">What would change my view / diligence</t>
  </si>
  <si>
    <t xml:space="preserve">Music royalty step-down</t>
  </si>
  <si>
    <t xml:space="preserve">70 bps p.a. (Base) / 110 (Up) / 15 (Down): 57.8% → 52.9% of Premium revenue FY26E→FY33E</t>
  </si>
  <si>
    <t xml:space="preserve">Dashboard E29:G29 → 2_Operating_Build row 50</t>
  </si>
  <si>
    <t xml:space="preserve">ASSUMPTION</t>
  </si>
  <si>
    <t xml:space="preserve">The memo says it does NOT underwrite a lower headline rate; the step-down is meant to stand in for marketplace netting, superfan add-ons, bundling. None of these is modelled separately and no contract term in the file supports 490 bps cumulative. Q2'26 Premium GM 34.9% (+174 bps Y/Y) is the only observed datapoint.</t>
  </si>
  <si>
    <t xml:space="preserve">0 bps: 7.9% | 15: 8.7% | 40: 9.8% | 70: 11.1% | 110: 12.7%.  ≈0.46pp of IRR per 10 bps p.a.; 20% needs 340 bps p.a. (GM 56.5%).</t>
  </si>
  <si>
    <t xml:space="preserve">Label contract terms and renewal calendar; MFN clauses; split of GM gain between mix, marketplace and rate (data room, Phase 2).</t>
  </si>
  <si>
    <t xml:space="preserve">4.0% p.a. (Base) / 5.0% / 2.5%; blended ARPU €5.06 → €6.00 (≈2.9% CAGR FY27–33 after regional mix)</t>
  </si>
  <si>
    <t xml:space="preserve">Dashboard E26:G26; regional spreads 2_Operating_Build D13/D18/D23/D28</t>
  </si>
  <si>
    <t xml:space="preserve">Haircut to the observed +7% Y/Y (Q2'26, per memo). Price-neutral level assumed at 3% (2_Operating_Build E10). Regional mix (Rest of World subs growing 4pp faster) pulls blended growth below the 4% price assumption.</t>
  </si>
  <si>
    <t xml:space="preserve">3%: 10.5% | 4%: 11.1% | 5%: 11.7%.  ≈0.6pp per 1pp of ARPU growth (matches memo).</t>
  </si>
  <si>
    <t xml:space="preserve">Price-increase vintage cohorts: retention after each hike by region.</t>
  </si>
  <si>
    <t xml:space="preserve">Churn elasticity</t>
  </si>
  <si>
    <t xml:space="preserve">0.05pp extra monthly churn per 1pp of ARPU growth above 3% neutral; base monthly churn 2.0% (1.8% Up / 2.4% Down)</t>
  </si>
  <si>
    <t xml:space="preserve">2_Operating_Build E9, E10, rows 8 and 11; Dashboard E27:G27</t>
  </si>
  <si>
    <t xml:space="preserve">Spotify does not disclose churn; nothing in the file evidences 2.0%. DEFECT FOUND: only the ELASTICITY term drives returns (extra annual churn = (1−(1−c_elastic)^12) − (1−(1−c_base)^12), 0.5pp/yr in Base). The BASE churn level has almost no effect (1%: 11.07%, 2%: 11.12%, 3%: 11.17% – higher churn slightly HELPS), so the Downside's 2.4% churn does not hurt the downside case.</t>
  </si>
  <si>
    <t xml:space="preserve">Elasticity 0: 11.6% | 0.05: 11.1% | 0.10: 10.7%.  Base churn 1%/2%/3%: 11.1% / 11.1% / 11.2%.</t>
  </si>
  <si>
    <t xml:space="preserve">Replace with a cohort-based churn build; until then do not cite the churn assumption as a downside driver.</t>
  </si>
  <si>
    <t xml:space="preserve">SBC → cash compensation</t>
  </si>
  <si>
    <t xml:space="preserve">50% of SBC becomes cash pay post-close (40% Up / 60% Down); not added back to Adj. EBITDA</t>
  </si>
  <si>
    <t xml:space="preserve">Dashboard E36:G36 → 2_Operating_Build rows 76–79</t>
  </si>
  <si>
    <t xml:space="preserve">FY26E SBC €321m (1.6% of revenue). FY26E Adj. EBITDA (€3,283m) adds back 100% of SBC (E77 = 0%) while FY27E+ adds back only the non-cash half. Entry multiple is therefore flattered: on the post-close definition FY26E EBITDA ≈ €3,122m and EV/EBITDA ≈ 34.2x, not 32.5x.</t>
  </si>
  <si>
    <t xml:space="preserve">0%: 11.7% | 50%: 11.1% | 100%: 10.5%.  ≈0.6pp per 50pts.</t>
  </si>
  <si>
    <t xml:space="preserve">MIP terms and retention economics; which SBC is genuinely cash-substituted.</t>
  </si>
  <si>
    <t xml:space="preserve">Negative working capital</t>
  </si>
  <si>
    <t xml:space="preserve">−19.7% of revenue held constant (−€3,859m at close → −€6,856m FY33E); releases €367m (FY27E) rising to €455m (FY33E) of cash p.a.</t>
  </si>
  <si>
    <t xml:space="preserve">2_Operating_Build E84 (=E85/E47), F84:L84; 3_Financial_Statements row 32</t>
  </si>
  <si>
    <t xml:space="preserve">FILE level (6-K balances per memo) + ASSUMPTION (constant ratio)</t>
  </si>
  <si>
    <t xml:space="preserve">Level is built from receivables less payables, accrued royalties and deferred revenue. Holding the ratio flat means growth keeps releasing cash. It is a liquidity risk as much as a return driver: if the ratio normalised, FY27E would swing by ≈ −€1.0bn (at −15%) or −€2.1bn (at −10%) against €1.5bn minimum cash.</t>
  </si>
  <si>
    <t xml:space="preserve">−15%: 11.0% | −10%: 10.8% (small on IRR; large on liquidity).</t>
  </si>
  <si>
    <t xml:space="preserve">Monthly liquidity model; royalty payment timing; deferred-revenue seasonality (Phase 2).</t>
  </si>
  <si>
    <t xml:space="preserve">FX (EUR per USD)</t>
  </si>
  <si>
    <t xml:space="preserve">0.8756 EUR per USD (6-K guidance rate, 30-Jun-26)</t>
  </si>
  <si>
    <t xml:space="preserve">Dashboard C9 → 1_Transaction_Summary C7:C8</t>
  </si>
  <si>
    <t xml:space="preserve">FILE (rate) / MODEL LIMITATION (use)</t>
  </si>
  <si>
    <t xml:space="preserve">DEFECT/LIMITATION: FX enters ONLY by converting the $637.39 offer into euros. All revenue and costs are built in EUR; there is no USD revenue translation, no USD debt tranche and no hedge P&amp;L, so the memo's §7 hedging programme (35% USD TLB, swaps, caps, layered cash-flow hedges) is narrative only and is not in the numbers. North America ≈ 44% of FY27E Premium revenue (€8.5bn of €19.4bn).</t>
  </si>
  <si>
    <t xml:space="preserve">0.80: 12.9% | 0.8756: 11.1% | 0.95: 9.5% (entry-price effect only).</t>
  </si>
  <si>
    <t xml:space="preserve">Currency split of revenue, costs and LP base; build USD cash flows before relying on any hedging claim.</t>
  </si>
  <si>
    <t xml:space="preserve">Exit multiple: 22x vs 32.5x entry</t>
  </si>
  <si>
    <t xml:space="preserve">22.0x Base / 25.0x Up / 16.0x Down FY33E Adj. EBITDA; Dashboard C21 overrides</t>
  </si>
  <si>
    <t xml:space="preserve">Dashboard E35:G35, C21; 5_Returns_Sensitivities C6</t>
  </si>
  <si>
    <t xml:space="preserve">ASSUMPTION (not derived from comps or DCF in the file)</t>
  </si>
  <si>
    <t xml:space="preserve">Of the 10.5-turn gap, 8.2 turns is the 30% premium itself (32.5x entry vs 24.3x unaffected, 1_Transaction_Summary C28 vs C31) and only 2.3 turns is an assumed de-rating from today's market multiple. Cross-check: implied exit EV/FCF 28.5x (5_Returns C9) vs entry EV/LTM FCF 32.8x. Nothing in the file shows why a business growing revenue 7% and EBITDA 11% in FY33E should trade at 22x rather than 18x or 25x.</t>
  </si>
  <si>
    <t xml:space="preserve">16x: 6.8% | 18x: 8.3% | 22x: 11.1% | 25x: 13.0% | 32.5x: 16.9%.  20% needs 39.5x.</t>
  </si>
  <si>
    <t xml:space="preserve">Public comps for scaled platforms with 7–8% growth and 24% EBITDA margins; exit-route evidence (re-IPO float, continuation vehicle).</t>
  </si>
  <si>
    <t xml:space="preserve">Ad-Supported revenue growth and margin</t>
  </si>
  <si>
    <t xml:space="preserve">8% p.a. (12% Up / 3% Down); Ad GM 17.7% → 30% FY33E</t>
  </si>
  <si>
    <t xml:space="preserve">Dashboard E28:G28, E30:G30; 2_Operating_Build E42 (dead input)</t>
  </si>
  <si>
    <t xml:space="preserve">Q2'26 Ad-Supported revenue grew 1% Y/Y (memo). DEFECT FOUND: 2_Operating_Build E42 (ad MAU growth) does not drive revenue – ad revenue is the Dashboard growth rate applied to the prior year; the input only feeds a memo MAU line.</t>
  </si>
  <si>
    <t xml:space="preserve">1%: 10.8% | 3%: 10.9% | 8%: 11.1% | 12%: 11.4%.</t>
  </si>
  <si>
    <t xml:space="preserve">Ad-tier pricing and load data.</t>
  </si>
  <si>
    <t xml:space="preserve">Premium subscriber growth</t>
  </si>
  <si>
    <t xml:space="preserve">7.5% FY27E fading linearly to 4.0% FY33E (9.0%→5.0% Up; 5.0%→3.0% Down)</t>
  </si>
  <si>
    <t xml:space="preserve">Dashboard E24:G25 → 2_Operating_Build row 6</t>
  </si>
  <si>
    <t xml:space="preserve">Q2'26 Premium subscribers +9% Y/Y (memo). Subscribers 309m (FY26E) → 446m (FY33E).</t>
  </si>
  <si>
    <t xml:space="preserve">FY33E fade to 3%: 10.7% | FY27E 5%: 9.8%.</t>
  </si>
  <si>
    <t xml:space="preserve">Regional net-add history and saturation in NA/Europe.</t>
  </si>
  <si>
    <t xml:space="preserve">Rollover equity</t>
  </si>
  <si>
    <t xml:space="preserve">27% of the equity purchase price (€31.5bn = 34.7% of new equity) at the offer price</t>
  </si>
  <si>
    <t xml:space="preserve">1_Transaction_Summary F49, C49</t>
  </si>
  <si>
    <t xml:space="preserve">The memo's S&amp;U labels it '27%', which is 27% of the equity PURCHASE PRICE, not of the equity cheque. It is ≈88% of the three large holders' combined economic stake (6_IC_Analysis F). It does not change gross IRR (pooled equity) but decides the €59.5bn sponsor cheque.</t>
  </si>
  <si>
    <t xml:space="preserve">n/a for IRR; sponsor cheque falls €1.17bn per 1pt of extra rollover.</t>
  </si>
  <si>
    <t xml:space="preserve">Founder/Tencent term sheet; tax on rollover; governance asks.</t>
  </si>
  <si>
    <t xml:space="preserve">Option tranches</t>
  </si>
  <si>
    <t xml:space="preserve">4.6m options in 3 tranches (strikes $150 / $350 / $480); €1.6bn cash-out</t>
  </si>
  <si>
    <t xml:space="preserve">1_Transaction_Summary C12:D14</t>
  </si>
  <si>
    <t xml:space="preserve">ESTIMATE</t>
  </si>
  <si>
    <t xml:space="preserve">Calibrated so TSM at the Q2 average price reproduces the 2.40m dilutive options in the 6-K EPS note. Real strike schedule is in the 20-F share-based payment note.</t>
  </si>
  <si>
    <t xml:space="preserve">Each €100m of extra cash-out ≈ 0.1% of equity cheque.</t>
  </si>
  <si>
    <t xml:space="preserve">20-F SBC note.</t>
  </si>
  <si>
    <t xml:space="preserve">Minimum cash and sweep</t>
  </si>
  <si>
    <t xml:space="preserve">€1.5bn minimum; 100% sweep of excess cash to TLA then TLB; notes not swept</t>
  </si>
  <si>
    <t xml:space="preserve">Dashboard C11:C13; 4_Debt_Schedule rows 21–24</t>
  </si>
  <si>
    <t xml:space="preserve">Buffer vs €2.6bn accrued royalties. Annual periodicity ignores intra-year royalty seasonality.</t>
  </si>
  <si>
    <t xml:space="preserve">Cash is not a return driver once debt is repaid (see 6_IC_Analysis C).</t>
  </si>
  <si>
    <t xml:space="preserve">Monthly liquidity sub-model.</t>
  </si>
  <si>
    <t xml:space="preserve">Tax</t>
  </si>
  <si>
    <t xml:space="preserve">24.94% single blended cash tax rate; ATAD cap 30% of tax-EBITDA; Pillar Two top-up = 0 every year</t>
  </si>
  <si>
    <t xml:space="preserve">Dashboard C18:C19; 3_Financial_Statements rows 17–24</t>
  </si>
  <si>
    <t xml:space="preserve">Luxembourg City combined rate used for everything; Swedish and US tax groups not separately modelled. ATAD cap binds only in FY27E (€167m disallowed, fully used FY28E) at 6x; binds again in any recap above ~5x (6_IC_Analysis C).</t>
  </si>
  <si>
    <t xml:space="preserve">Entity-level tax model.</t>
  </si>
  <si>
    <t xml:space="preserve">Interest on opening balances</t>
  </si>
  <si>
    <t xml:space="preserve">CircOn = 0 (opening balances)</t>
  </si>
  <si>
    <t xml:space="preserve">Dashboard C10</t>
  </si>
  <si>
    <t xml:space="preserve">MODEL CHOICE</t>
  </si>
  <si>
    <t xml:space="preserve">Average-balance interest (CircOn = 1) converges in ~6 recalculation passes and gives 11.15% gross IRR vs 11.12% (+0.04pp); FY27E cash interest €1,189m vs €1,272m. Convergence is now tested by a real residual (4_Debt_Schedule row 60).</t>
  </si>
  <si>
    <t xml:space="preserve">11.12% → 11.15%.</t>
  </si>
  <si>
    <t xml:space="preserve">Net-return convention</t>
  </si>
  <si>
    <t xml:space="preserve">1.5% p.a. fee on sponsor cash, paid annually (v3); rollover equity pays no fee or carry; 8% pref; 20% carry, full catch-up</t>
  </si>
  <si>
    <t xml:space="preserve">5_Returns_Sensitivities C23:C32</t>
  </si>
  <si>
    <t xml:space="preserve">RESOLVED in v3: fees now paid annually on sponsor cash only (5_Returns rows 27–33). Net IRR falls ≈0.26pp for timing, partly offset by the exit-bridge fix. Fees/carry are pro-rata, so excluding rollover changes € amounts (fees €9.6bn → €6.2bn) but not net MoIC.</t>
  </si>
  <si>
    <t xml:space="preserve">Net IRR 8.6% (v2, fees at exit) → 8.4% (v3).</t>
  </si>
  <si>
    <t xml:space="preserve">LPA terms.</t>
  </si>
  <si>
    <t xml:space="preserve">Exit bridge items</t>
  </si>
  <si>
    <t xml:space="preserve">Exit cash counted in full; leases deducted; long-term investments (€1,118m) added back at exit (v3 fix, consistent with entry EV bridge)</t>
  </si>
  <si>
    <t xml:space="preserve">5_Returns_Sensitivities C10:C13</t>
  </si>
  <si>
    <t xml:space="preserve">RESOLVED in v3: entry deducts the €1,118m investments from EV and exit now adds them back (5_Returns C11). No sell-down discount applied although the memo says a 2–3 year sell-down costs 1–2pp.</t>
  </si>
  <si>
    <t xml:space="preserve">v3: +0.09pp gross IRR (11.03% → 11.12%).</t>
  </si>
  <si>
    <t xml:space="preserve">Dividend-recap module (new)</t>
  </si>
  <si>
    <t xml:space="preserve">Switch OFF; recap year FY31; target 4.0x; 100% excess-cash payout; 7.5% coupon; 2.25% fee</t>
  </si>
  <si>
    <t xml:space="preserve">4_Debt_Schedule C73:C79</t>
  </si>
  <si>
    <t xml:space="preserve">All six inputs are my assumptions, labelled in-cell; coupon and fee copy the entry notes/financing fee. Notes are unswept, interest on opening balance, fees charged to equity (not tax-deducted).</t>
  </si>
  <si>
    <t xml:space="preserve">See 6_IC_Analysis C.</t>
  </si>
  <si>
    <t xml:space="preserve">Market soundings on a post-FY30 recap.</t>
  </si>
  <si>
    <t xml:space="preserve">8 | Change Log – before / after</t>
  </si>
  <si>
    <t xml:space="preserve">Original: Project_Harmony_Spotify_LBO_Model.xlsx (cached values). Updated: this file, recalculated in full on 05-Oct-2026. Base/Upside/Downside outputs are unchanged to the last digit because every edit is switched off or presentational by default.</t>
  </si>
  <si>
    <t xml:space="preserve">1. OUTPUTS – BEFORE vs AFTER</t>
  </si>
  <si>
    <t xml:space="preserve">Output</t>
  </si>
  <si>
    <t xml:space="preserve">Original file</t>
  </si>
  <si>
    <t xml:space="preserve">Updated file</t>
  </si>
  <si>
    <t xml:space="preserve">Δ</t>
  </si>
  <si>
    <t xml:space="preserve">Comment</t>
  </si>
  <si>
    <t xml:space="preserve">Base – gross IRR</t>
  </si>
  <si>
    <t xml:space="preserve">Differences are zero to 1e-12: edits are default-off or presentational.</t>
  </si>
  <si>
    <t xml:space="preserve">Base – gross MoIC</t>
  </si>
  <si>
    <t xml:space="preserve">Base – net IRR</t>
  </si>
  <si>
    <t xml:space="preserve">Base – net MoIC</t>
  </si>
  <si>
    <t xml:space="preserve">Upside – gross IRR</t>
  </si>
  <si>
    <t xml:space="preserve">Upside – net IRR</t>
  </si>
  <si>
    <t xml:space="preserve">Downside – gross IRR</t>
  </si>
  <si>
    <t xml:space="preserve">Downside – net IRR</t>
  </si>
  <si>
    <t xml:space="preserve">Base – exit EBITDA FY33E (€m)</t>
  </si>
  <si>
    <t xml:space="preserve">Base – total equity (€m)</t>
  </si>
  <si>
    <t xml:space="preserve">Base – sponsor equity (€m)</t>
  </si>
  <si>
    <t xml:space="preserve">Entry EV / FY26E EBITDA</t>
  </si>
  <si>
    <t xml:space="preserve">Base – FY27E interest cover</t>
  </si>
  <si>
    <t xml:space="preserve">Master audit check</t>
  </si>
  <si>
    <t xml:space="preserve">Circularity ON (CircOn=1) gross IRR</t>
  </si>
  <si>
    <t xml:space="preserve">n/a – not tested</t>
  </si>
  <si>
    <t xml:space="preserve">New: converges in ~6 passes, residual now tested (row 60). +0.04pp vs opening-balance basis.</t>
  </si>
  <si>
    <t xml:space="preserve">2. SENSITIVITY TABLES (5_Returns_Sensitivities rows 43–92): closed-form (before) vs full re-run (after)</t>
  </si>
  <si>
    <t xml:space="preserve">Table</t>
  </si>
  <si>
    <t xml:space="preserve">Cells compared</t>
  </si>
  <si>
    <t xml:space="preserve">Max |Δ|</t>
  </si>
  <si>
    <t xml:space="preserve">Mean Δ</t>
  </si>
  <si>
    <t xml:space="preserve">What changed</t>
  </si>
  <si>
    <t xml:space="preserve">Table 1 – gross MoIC (exit × GM)</t>
  </si>
  <si>
    <t xml:space="preserve">Old: GM flexed at exit only (ΔGM × FY33E revenue added to EBITDA and a ramp-weighted amount to cash). New: royalty step-down changed in the model so GM, tax, ATAD, sweep and interest all re-compute. Result: closed form was accurate to ≤0.002x.</t>
  </si>
  <si>
    <t xml:space="preserve">Table 2 – net IRR (exit × GM)</t>
  </si>
  <si>
    <t xml:space="preserve">As above; max gap 0.02pp.</t>
  </si>
  <si>
    <t xml:space="preserve">Table 3 – net IRR (premium × exit)</t>
  </si>
  <si>
    <t xml:space="preserve">Old: equity cheque flexed algebraically, debt held. New: premium changed in Dashboard C7 so TSM dilution, fees and S&amp;U re-compute. Max gap 0.02pp.</t>
  </si>
  <si>
    <t xml:space="preserve">Table 4 – gross MoIC (entry × exit, hypothetical)</t>
  </si>
  <si>
    <t xml:space="preserve">Old: algebraic. New: negative premium solved to hit each entry multiple (−23% to −45%, offer $272–$379). Identical to 4dp.</t>
  </si>
  <si>
    <t xml:space="preserve">Table 5 – net IRR (entry × exit, hypothetical)</t>
  </si>
  <si>
    <t xml:space="preserve">As Table 4.</t>
  </si>
  <si>
    <t xml:space="preserve">Net effect: no table value moved by more than 0.002x MoIC or 0.02pp IRR. The closed-form engine was sound; what changed is that the grids are now produced by the model itself, show the lever used (royalty bps, premium, offer price) and are labelled static. New Table 6 (leverage × exit) was added.</t>
  </si>
  <si>
    <t xml:space="preserve">3. EDITS MADE TO THE WORKBOOK</t>
  </si>
  <si>
    <t xml:space="preserve">Location</t>
  </si>
  <si>
    <t xml:space="preserve">Before</t>
  </si>
  <si>
    <t xml:space="preserve">After</t>
  </si>
  <si>
    <t xml:space="preserve">Why</t>
  </si>
  <si>
    <t xml:space="preserve">Dashboard rows 62–71, new C72</t>
  </si>
  <si>
    <t xml:space="preserve">Pasted values presented as a live "scenario snapshot"; label said refresh by macro</t>
  </si>
  <si>
    <t xml:space="preserve">Labelled STATIC; grey fill; freshness test in C72 (CURRENT / STALE)</t>
  </si>
  <si>
    <t xml:space="preserve">Values were pasted by a macro that cannot run in .xlsx. Verified equal to a full re-run today.</t>
  </si>
  <si>
    <t xml:space="preserve">Dashboard B37:C37</t>
  </si>
  <si>
    <t xml:space="preserve">Blank</t>
  </si>
  <si>
    <t xml:space="preserve">Shows recap switch state</t>
  </si>
  <si>
    <t xml:space="preserve">Visibility of the new module.</t>
  </si>
  <si>
    <t xml:space="preserve">4_Debt_Schedule rows 72–130</t>
  </si>
  <si>
    <t xml:space="preserve">VBA source as plain text (SolveInterestCircularity, RunScenarioSnapshot)</t>
  </si>
  <si>
    <t xml:space="preserve">REMOVED; replaced by recap module rows 72–93 and notes rows 95–96</t>
  </si>
  <si>
    <t xml:space="preserve">Inert text; cannot run in .xlsx; untested; fed a hard-coded check.</t>
  </si>
  <si>
    <t xml:space="preserve">4_Debt_Schedule row 60, M60; Dashboard B47</t>
  </si>
  <si>
    <t xml:space="preserve">M60 = hard-coded 0, so D47 always passed</t>
  </si>
  <si>
    <t xml:space="preserve">Row 60 residual (reported vs recomputed average-balance interest and interest income); M60 = Σ residual</t>
  </si>
  <si>
    <t xml:space="preserve">A check that cannot fail is not a check; now fails until CircOn=1 converges.</t>
  </si>
  <si>
    <t xml:space="preserve">4_Debt_Schedule F56:L56, F59:L59, E61:L61</t>
  </si>
  <si>
    <t xml:space="preserve">Tranche sums</t>
  </si>
  <si>
    <t xml:space="preserve">+ recap interest / recap notes</t>
  </si>
  <si>
    <t xml:space="preserve">Recap module wiring (zero when switch = 0).</t>
  </si>
  <si>
    <t xml:space="preserve">3_Financial_Statements rows 37, 42, 55, 62, 63</t>
  </si>
  <si>
    <t xml:space="preserve">Row 37 and 55 blank</t>
  </si>
  <si>
    <t xml:space="preserve">Row 37 = net recap cash effect; row 42 adds it; row 55 = recap notes; row 62 sums 55:61; equity less dividends and recap fees</t>
  </si>
  <si>
    <t xml:space="preserve">Keeps balance sheet balanced with recap on (checked on 12 recap cases).</t>
  </si>
  <si>
    <t xml:space="preserve">5_Returns_Sensitivities C15, C17, C18, C20:L20, C21, C28, C31, C32, row 33, C41</t>
  </si>
  <si>
    <t xml:space="preserve">Exit-only proceeds; net IRR = MoIC^(1/7)−1</t>
  </si>
  <si>
    <t xml:space="preserve">Dividend-aware proceeds; interim dividends in row 20; net IRR = IRR of row 33 flows</t>
  </si>
  <si>
    <t xml:space="preserve">Identical to the old result when no dividends (checked).</t>
  </si>
  <si>
    <t xml:space="preserve">5_Returns_Sensitivities rows 43–92</t>
  </si>
  <si>
    <t xml:space="preserve">Closed-form formulas (long single-cell expressions)</t>
  </si>
  <si>
    <t xml:space="preserve">Static grids from full re-runs, lever shown, hit-colouring</t>
  </si>
  <si>
    <t xml:space="preserve">Requested. See section 2.</t>
  </si>
  <si>
    <t xml:space="preserve">5_Returns_Sensitivities rows 94–104</t>
  </si>
  <si>
    <t xml:space="preserve">New Table 6 leverage × exit (gross IRR)</t>
  </si>
  <si>
    <t xml:space="preserve">Requested leverage test.</t>
  </si>
  <si>
    <t xml:space="preserve">New sheets 6, 7, 8</t>
  </si>
  <si>
    <t xml:space="preserve">6_IC_Analysis; 7_Assumptions_Register; 8_Change_Log</t>
  </si>
  <si>
    <t xml:space="preserve">Requested deliverables.</t>
  </si>
  <si>
    <t xml:space="preserve">4. FLAGS – issues found in the original model and memo (not silently fixed)</t>
  </si>
  <si>
    <t xml:space="preserve">Item</t>
  </si>
  <si>
    <t xml:space="preserve">Where</t>
  </si>
  <si>
    <t xml:space="preserve">Finding</t>
  </si>
  <si>
    <t xml:space="preserve">Memo "what you have to believe"</t>
  </si>
  <si>
    <t xml:space="preserve">Memo §8</t>
  </si>
  <si>
    <t xml:space="preserve">Claims GM 44%+, 25x exit and ARPU 5% with no churn penalty reach 20% gross IRR. Full re-run of exactly that bundle gives 17.3% (3.06x). GM 44% + 25x alone: 15.8%.</t>
  </si>
  <si>
    <t xml:space="preserve">Convertible "12–14% contracted floor"</t>
  </si>
  <si>
    <t xml:space="preserve">Memo §1 Alt. A</t>
  </si>
  <si>
    <t xml:space="preserve">Contracted floor is the 6% PIK. 12–14% needs ~8–10% p.a. share-price compounding; see 6_IC_Analysis G.</t>
  </si>
  <si>
    <t xml:space="preserve">"Table 1 never reaches 2.0x within 12–18x"</t>
  </si>
  <si>
    <t xml:space="preserve">Memo Q11</t>
  </si>
  <si>
    <t xml:space="preserve">False at the 44% GM corner: 18x / 44% = 2.08x (Table 1 H58). True for GM ≤ 42%.</t>
  </si>
  <si>
    <t xml:space="preserve">Vacuous convergence check</t>
  </si>
  <si>
    <t xml:space="preserve">Dashboard D47 / 4_Debt_Schedule M60</t>
  </si>
  <si>
    <t xml:space="preserve">M60 was a hard-coded 0; the memo's "all eight checks = OK" therefore covered only seven live checks. Fixed.</t>
  </si>
  <si>
    <t xml:space="preserve">Base churn level is not a driver</t>
  </si>
  <si>
    <t xml:space="preserve">2_Operating_Build rows 8, 11</t>
  </si>
  <si>
    <t xml:space="preserve">Raising base churn from 2% to 3% slightly raises IRR. Downside "2.4% churn" has no bite; only the elasticity term does.</t>
  </si>
  <si>
    <t xml:space="preserve">Dead input</t>
  </si>
  <si>
    <t xml:space="preserve">2_Operating_Build E42</t>
  </si>
  <si>
    <t xml:space="preserve">Ad MAU growth does not feed ad revenue.</t>
  </si>
  <si>
    <t xml:space="preserve">FX only at entry</t>
  </si>
  <si>
    <t xml:space="preserve">Dashboard C9</t>
  </si>
  <si>
    <t xml:space="preserve">No USD revenue translation or hedge P&amp;L in the model; memo §7 hedging is narrative.</t>
  </si>
  <si>
    <t xml:space="preserve">EBITDA definition shift</t>
  </si>
  <si>
    <t xml:space="preserve">2_Operating_Build E77 vs F77</t>
  </si>
  <si>
    <t xml:space="preserve">FY26E EBITDA adds back 100% of SBC, FY27E+ only 50%: like-for-like entry multiple ≈34.2x, not 32.5x.</t>
  </si>
  <si>
    <t xml:space="preserve">Net IRR timing</t>
  </si>
  <si>
    <t xml:space="preserve">5_Returns C27, C32</t>
  </si>
  <si>
    <t xml:space="preserve">Fees charged at exit; annual fees lower net IRR by 0.26–0.36pp. RESOLVED in v3 (section 5).</t>
  </si>
  <si>
    <t xml:space="preserve">Memo risk-table cases not reproducible</t>
  </si>
  <si>
    <t xml:space="preserve">"+200 bps royalty from FY28E: 9.7%" and "ARPU frozen from FY28E: 7.9%" are not Dashboard inputs; cannot be reproduced from this file. Verified: 18x exit 8.2%, 15x exit 5.8%, EURIBOR +100bps −0.02pp, ARPU 3%/5% 10.5%/11.6%.</t>
  </si>
  <si>
    <t xml:space="preserve">Rollover label</t>
  </si>
  <si>
    <t xml:space="preserve">Memo §3 S&amp;U</t>
  </si>
  <si>
    <t xml:space="preserve">"27%" is of the equity purchase price (€116.8bn), i.e. 34.7% of the equity cheque.</t>
  </si>
  <si>
    <t xml:space="preserve">External facts not verified here</t>
  </si>
  <si>
    <t xml:space="preserve">Memo Q2, Q6, §7</t>
  </si>
  <si>
    <t xml:space="preserve">Loud &amp; Clear ~$10bn, April share-price move, EC fine on Apple and licensing terms were not checked against sources.</t>
  </si>
  <si>
    <t xml:space="preserve">Engine note: re-runs used LibreOffice Calc (not Excel). It reproduced the original Base/Upside/Downside outputs to 1e-12. Excel may differ in the last digits; iterative-calc behaviour with CircOn=1 was verified in LibreOffice only.</t>
  </si>
  <si>
    <t xml:space="preserve">5. v3 CHANGES (06-Oct-2026) – what was fixed, and what moved</t>
  </si>
  <si>
    <t xml:space="preserve">Model logic changed in three places (exit bridge, net-return convention, entry-multiple memo). Operating build, purchase price, S&amp;U, debt schedule and tax are untouched. Because the exit bridge changed, every static grid / snapshot / IC value was regenerated by full re-runs of this workbook and re-validated (the harness reproduced every v2 static grid, snapshot, IC and unlevered-run value to within 1e-10 before it was used).</t>
  </si>
  <si>
    <t xml:space="preserve">v2 (before)</t>
  </si>
  <si>
    <t xml:space="preserve">v3 (after)</t>
  </si>
  <si>
    <t xml:space="preserve">Long-term investments (€1.1bn) now added back at exit</t>
  </si>
  <si>
    <t xml:space="preserve">Annual fees (−0.26pp) partly offset by exit-bridge fix</t>
  </si>
  <si>
    <t xml:space="preserve">Fees/carry pro-rata, so MoIC moves only with the exit-bridge fix</t>
  </si>
  <si>
    <t xml:space="preserve">Unchanged; like-for-like memo (34.2x) added in 1_Transaction_Summary C32</t>
  </si>
  <si>
    <t xml:space="preserve">All 8 checks = 0</t>
  </si>
  <si>
    <t xml:space="preserve">5_Returns_Sensitivities C11, B11</t>
  </si>
  <si>
    <t xml:space="preserve">Exit bridge added cash only</t>
  </si>
  <si>
    <t xml:space="preserve">Adds cash AND long-term investments (3_Financial_Statements L50)</t>
  </si>
  <si>
    <t xml:space="preserve">Entry EV nets out the €1,118m investments; exit must add them back. Plug in value-creation table (C40) now equals fees exactly (−€860m).</t>
  </si>
  <si>
    <t xml:space="preserve">5_Returns_Sensitivities C39</t>
  </si>
  <si>
    <t xml:space="preserve">Entry net debt ignored LT investments</t>
  </si>
  <si>
    <t xml:space="preserve">Entry net debt deducts them (consistent with exit)</t>
  </si>
  <si>
    <t xml:space="preserve">Keeps deleveraging bar like-for-like.</t>
  </si>
  <si>
    <t xml:space="preserve">5_Returns_Sensitivities rows 27–33</t>
  </si>
  <si>
    <t xml:space="preserve">Net returns on total equity; fees charged once at exit</t>
  </si>
  <si>
    <t xml:space="preserve">Net returns on sponsor cash (D18); fee 1.5% p.a. paid annually in row 33; carry at exit</t>
  </si>
  <si>
    <t xml:space="preserve">LP view should exclude founders/Tencent rollover and pay fees as they fall due.</t>
  </si>
  <si>
    <t xml:space="preserve">6_IC_Analysis C53:F65</t>
  </si>
  <si>
    <t xml:space="preserve">Hold-period grid excluded LT investments</t>
  </si>
  <si>
    <t xml:space="preserve">Includes them (live formulas)</t>
  </si>
  <si>
    <t xml:space="preserve">Consistency with 5_Returns C13; check cell C66 still reads OK.</t>
  </si>
  <si>
    <t xml:space="preserve">1_Transaction_Summary B32:C32</t>
  </si>
  <si>
    <t xml:space="preserve">Memo: EV / EBITDA with only non-cash SBC added back (34.2x)</t>
  </si>
  <si>
    <t xml:space="preserve">Like-for-like with FY27E+ EBITDA definition.</t>
  </si>
  <si>
    <t xml:space="preserve">Dashboard rows 62–71; 5_Returns Tables 1–6; 6_IC A–C, G; 7_Assumptions_Register col H</t>
  </si>
  <si>
    <t xml:space="preserve">Static values from v2 model</t>
  </si>
  <si>
    <t xml:space="preserve">Static values regenerated from v3 by full re-runs</t>
  </si>
  <si>
    <t xml:space="preserve">Static outputs must follow the model. C72 freshness test reads CURRENT.</t>
  </si>
  <si>
    <t xml:space="preserve">9_Interview_Brief</t>
  </si>
  <si>
    <t xml:space="preserve">New tab</t>
  </si>
  <si>
    <t xml:space="preserve">Q&amp;A, key numbers (live links) and known limitations.</t>
  </si>
  <si>
    <t xml:space="preserve">Not changed on purpose: interest on opening balances (conservative; +0.04pp on average balances), unswept 7.5% notes and ≈€21bn of exit cash (tested via the recap module), single blended tax rate, FX at entry only, royalty step-down and exit-multiple assumptions. These are disclosed in 7_Assumptions_Register and 9_Interview_Brief.</t>
  </si>
  <si>
    <t xml:space="preserve">Project Harmony – Interview brief (Base case, v3)</t>
  </si>
  <si>
    <t xml:space="preserve">Numbers in the key-numbers block are live links to the model (green). Answer text quotes the Base case as of 06-Oct-2026; if you change an input, re-read the live numbers.</t>
  </si>
  <si>
    <t xml:space="preserve">1. THE 30-SECOND PITCH</t>
  </si>
  <si>
    <t xml:space="preserve">Project Harmony is a take-private LBO of Spotify at a 30% premium ($637 a share), a €106.8bn enterprise value or 32.5x FY26E Adj. EBITDA. It is funded with €19.7bn of debt (6.0x), €31.5bn of founder/Tencent rollover and €59.5bn of sponsor equity. I built a segment-level operating model, a three-tranche debt schedule with a cash sweep, an integrated three-statement model and a returns engine. Base case returns are 11.1% gross / 8.4% net IRR (2.09x / 1.79x), Upside 17.7%, Downside -0.6%. My conclusion is that it does not clear a 20% hurdle at this price, and no realistic lever fixes that. The entry price is the problem, not the operations.</t>
  </si>
  <si>
    <t xml:space="preserve">2. KEY NUMBERS (live)</t>
  </si>
  <si>
    <t xml:space="preserve">Offer price (USD / share)</t>
  </si>
  <si>
    <t xml:space="preserve">Equity purchase price (€m)</t>
  </si>
  <si>
    <t xml:space="preserve">Enterprise value (€m)</t>
  </si>
  <si>
    <t xml:space="preserve">  … like-for-like (post-close SBC definition)</t>
  </si>
  <si>
    <t xml:space="preserve">Total debt at close (€m)</t>
  </si>
  <si>
    <t xml:space="preserve">Gross leverage at close</t>
  </si>
  <si>
    <t xml:space="preserve">Sponsor equity (€m)</t>
  </si>
  <si>
    <t xml:space="preserve">Rollover equity (€m)</t>
  </si>
  <si>
    <t xml:space="preserve">Equity as % of capitalisation</t>
  </si>
  <si>
    <t xml:space="preserve">FY33E Adj. EBITDA (€m)</t>
  </si>
  <si>
    <t xml:space="preserve">Exit enterprise value (€m)</t>
  </si>
  <si>
    <t xml:space="preserve">Net MoIC (LP)</t>
  </si>
  <si>
    <t xml:space="preserve">Net IRR (LP)</t>
  </si>
  <si>
    <t xml:space="preserve">Interest cover FY27E (EBITDA / cash interest)</t>
  </si>
  <si>
    <t xml:space="preserve">Net leverage FY27E</t>
  </si>
  <si>
    <t xml:space="preserve">Net leverage FY29E</t>
  </si>
  <si>
    <t xml:space="preserve">3. QUESTIONS YOU SHOULD EXPECT (and a grounded answer)</t>
  </si>
  <si>
    <t xml:space="preserve">Topic</t>
  </si>
  <si>
    <t xml:space="preserve">Question</t>
  </si>
  <si>
    <t xml:space="preserve">Answer</t>
  </si>
  <si>
    <t xml:space="preserve">Why this deal</t>
  </si>
  <si>
    <t xml:space="preserve">Why did you pick Spotify and how did you value it?</t>
  </si>
  <si>
    <t xml:space="preserve">I used a 30% control premium to the unaffected price ($490.30 → $637.39), converted at 0.8756 EUR/USD, on 209.4m fully diluted shares (205.8m basic + 2.9m from options by treasury-stock method + 0.7m RSUs). That is an equity price of €116.8bn. I then netted €10.5bn of cash and investments and added €470m of leases for an EV of €106.8bn. Unaffected, the stock trades at 24.3x FY26E EBITDA; at the offer it is 32.5x.</t>
  </si>
  <si>
    <t xml:space="preserve">Sources &amp; uses</t>
  </si>
  <si>
    <t xml:space="preserve">Walk me through sources and uses.</t>
  </si>
  <si>
    <t xml:space="preserve">Uses are €116.8bn equity price plus about €0.86bn of advisory fees, financing fees and OID, so €117.7bn. Sources are €19.7bn of debt (TLA €4.0bn, TLB €8.6bn, 7.5% unsecured notes €7.1bn), €7.0bn of Spotify's own balance-sheet cash, €31.5bn of rollover (27% of the equity price) and a €59.5bn sponsor equity plug. Sources equal uses is audit check #3 on the Dashboard.</t>
  </si>
  <si>
    <t xml:space="preserve">Leverage</t>
  </si>
  <si>
    <t xml:space="preserve">Why only 6x debt and 77% equity?</t>
  </si>
  <si>
    <t xml:space="preserve">Scale. At 32.5x entry, 6x EBITDA funds under 20% of the price. More debt is a weak lever: each extra turn adds only about 0.2pp of gross IRR while cutting FY27E interest cover by about 0.4x (3.0x at 6x). The ATAD interest cap (30% of tax-EBITDA, €1,127m) already bites in FY27E, and the TLA springing covenant breaks at 10x (IC tab, section B).</t>
  </si>
  <si>
    <t xml:space="preserve">Operating model</t>
  </si>
  <si>
    <t xml:space="preserve">How do you forecast revenue and EBITDA?</t>
  </si>
  <si>
    <t xml:space="preserve">Premium revenue is built by region (North America, Europe, LatAm, Rest of World) as average subscribers × monthly ARPU × 12. Subscriber growth fades from 7.5% to 4.0%, ARPU grows 4% a year, and a price-elasticity term adds churn when ARPU growth exceeds a 3% neutral level. Ad-supported revenue grows 8%. Total revenue goes from €19.6bn to €34.7bn; Adj. EBITDA from €3.3bn to €8.4bn, a margin of 16.8% → 24.2%, driven mainly by a 70 bps a year royalty-rate step-down (gross margin 33.0% → 39.3%) and operating leverage on R&amp;D, S&amp;M and G&amp;A.</t>
  </si>
  <si>
    <t xml:space="preserve">Biggest assumption</t>
  </si>
  <si>
    <t xml:space="preserve">Which single assumption matters most, and is it supportable?</t>
  </si>
  <si>
    <t xml:space="preserve">The music royalty step-down: 57.8% to 52.9% of Premium revenue, 490 bps cumulative. Each 10 bps a year is worth about 0.45pp of IRR. It is an assumption standing in for marketplace netting, bundling and superfan tiers; no contract term in the file supports it. Q2'26 Premium gross margin of 34.9% is the only observed data point. I would say that up front and point to the sensitivity table showing returns at gross margins from 36% to 44%.</t>
  </si>
  <si>
    <t xml:space="preserve">Debt &amp; sweep</t>
  </si>
  <si>
    <t xml:space="preserve">How does the cash sweep work?</t>
  </si>
  <si>
    <t xml:space="preserve">Each year cash available = opening cash + free cash flow before debt service − TLA mandatory amortisation − €1.5bn minimum cash. A shortfall draws the €500m RCF; a surplus repays the TLA first, then the TLB. The 7.5% notes are not swept. Term loans are fully repaid by FY30, after which cash accumulates (about €20bn at exit). Net leverage falls from 4.0x in FY27E to 1.6x in FY29E.</t>
  </si>
  <si>
    <t xml:space="preserve">Circularity</t>
  </si>
  <si>
    <t xml:space="preserve">How did you handle the interest circularity?</t>
  </si>
  <si>
    <t xml:space="preserve">A toggle on the Dashboard (C10). At 0, interest is computed on opening balances, which is conservative because it ignores the paydown during the year. At 1, it uses average balances with iterative calc on, and gross IRR rises by only 0.04pp. I also replaced a hard-coded convergence check with a real residual (4_Debt_Schedule row 60), so that check can now fail.</t>
  </si>
  <si>
    <t xml:space="preserve">How is tax modelled?</t>
  </si>
  <si>
    <t xml:space="preserve">A single 24.94% blended Luxembourg rate. Net interest deductibility is capped at 30% of tax-EBITDA (ATAD), with disallowed interest carried forward: €167m disallowed in FY27E, fully used in FY28E. A Pillar Two 15% top-up is modelled but is zero every year because the cash rate is above 15%.</t>
  </si>
  <si>
    <t xml:space="preserve">Returns</t>
  </si>
  <si>
    <t xml:space="preserve">Why is the exit multiple 22x when you paid 32.5x?</t>
  </si>
  <si>
    <t xml:space="preserve">Of the 10.5-turn gap, 8.2 turns is the control premium itself (24.3x unaffected vs 32.5x) and only 2.3 turns is assumed de-rating. The value bridge shows it clearly: EBITDA growth adds €167bn, multiple compression removes €89bn, deleveraging adds €30bn and fees take €0.9bn, for €108bn of value created on €91bn of equity. Honest caveat: 22x is an assumption, not derived from comps. At 18x the gross IRR is about 8%, at 25x about 13%.</t>
  </si>
  <si>
    <t xml:space="preserve">How do you get from gross to net returns?</t>
  </si>
  <si>
    <t xml:space="preserve">Gross is all equity after an 8% management incentive plan on the gain: 11.1% / 2.09x. Net is the LP view on sponsor cash only: a 1.5% annual fee, an 8% preferred return and 20% carry with full catch-up, giving 8.4% / 1.79x. Rollover equity pays no fee or carry. In v3 I fixed fees to be paid annually instead of at exit, which lowers net IRR by about 0.26pp.</t>
  </si>
  <si>
    <t xml:space="preserve">Conclusion</t>
  </si>
  <si>
    <t xml:space="preserve">What is your recommendation?</t>
  </si>
  <si>
    <t xml:space="preserve">Do not proceed at a 30% premium. Gross IRR is 11.1%, the Upside only reaches 17.7%, and the Downside loses money (-0.6%). To reach 20% you would need one of: a 12.6% discount to market ($428 offer), a 39.5x exit, or a 56% gross margin. A dividend recap adds at most about 0.6pp. Alternatives worth exploring are a minority stake or a convertible preferred (6% PIK, 20% conversion premium; IC tab, section G).</t>
  </si>
  <si>
    <t xml:space="preserve">Feasibility</t>
  </si>
  <si>
    <t xml:space="preserve">Is this deal realistic?</t>
  </si>
  <si>
    <t xml:space="preserve">No, and I say so. EV of about $122bn is roughly 2.2x EA's $55bn take-private, the largest LBO on record, and total equity of about $104bn is 2.9x EA's. It would need a consortium of sovereign and pension co-investors. The founders (Ek and Lorentzon) hold roughly 69% of votes, so no deal happens without them, and a premium cannot override that.</t>
  </si>
  <si>
    <t xml:space="preserve">Checks</t>
  </si>
  <si>
    <t xml:space="preserve">How do you know the model is right?</t>
  </si>
  <si>
    <t xml:space="preserve">Eight automated audit checks, all zero: balance sheet balances every year, cash-flow cash equals balance-sheet cash, sources equal uses, no negative debt, RCF within limit, minimum cash respected, covenant not breached, and circularity converged. The master check on every tab reads OK. I also ran full re-runs of the whole model for every sensitivity cell instead of closed-form shortcuts.</t>
  </si>
  <si>
    <t xml:space="preserve">What changed in v3</t>
  </si>
  <si>
    <t xml:space="preserve">What did you improve after review?</t>
  </si>
  <si>
    <t xml:space="preserve">I added the long-term investments back at exit (they were netted from EV at entry but dropped at exit), moved net returns to an annual fee on sponsor cash only, added a like-for-like entry multiple (34.2x), and regenerated every static table. Gross IRR moved from 11.03% to 11.12% and net IRR from 8.59% to 8.40%. I also removed untested VBA text and replaced the hard-coded convergence check.</t>
  </si>
  <si>
    <t xml:space="preserve">4. WEAKNESSES – say these before they are asked</t>
  </si>
  <si>
    <t xml:space="preserve">•  Royalty step-down (490 bps) and 22x exit multiple are assumptions, not derived from contracts or comps. Both are the main swing factors; sensitivity tables show the range.</t>
  </si>
  <si>
    <t xml:space="preserve">•  Negative working capital (−19.7% of revenue) releases €0.4–0.5bn a year. If the ratio normalised, FY27E would swing by about −€1.0bn against €1.5bn minimum cash. It is a liquidity risk, not only a return driver.</t>
  </si>
  <si>
    <t xml:space="preserve">•  Churn: base churn level barely moves returns (only the elasticity term does), so the Downside's 2.4% churn has little bite. Known defect, documented in the register.</t>
  </si>
  <si>
    <t xml:space="preserve">•  FX enters only at entry. Revenue and costs are all in EUR; the hedging programme in the memo is narrative, not in the numbers.</t>
  </si>
  <si>
    <t xml:space="preserve">•  Interest runs on opening balances by default (conservative). About €20bn of cash sits idle at exit while 7.5% notes stay outstanding; the recap module shows fixing it is worth at most about 0.6pp.</t>
  </si>
  <si>
    <t xml:space="preserve">•  Sensitivity grids and the scenario snapshot are static outputs of full re-runs. If an input changes they go stale (Dashboard C72 flags this for Base). Use the re-run script to refresh.</t>
  </si>
  <si>
    <t xml:space="preserve">•  Single blended tax rate; no separate Swedish or US tax groups. Annual periodicity ignores intra-year royalty seasonality.</t>
  </si>
</sst>
</file>

<file path=xl/styles.xml><?xml version="1.0" encoding="utf-8"?>
<styleSheet xmlns="http://schemas.openxmlformats.org/spreadsheetml/2006/main">
  <numFmts count="26">
    <numFmt numFmtId="164" formatCode="General"/>
    <numFmt numFmtId="165" formatCode="0"/>
    <numFmt numFmtId="166" formatCode="0.0%;\(0.0%\);\–"/>
    <numFmt numFmtId="167" formatCode="\$#,##0.00"/>
    <numFmt numFmtId="168" formatCode="0.0000"/>
    <numFmt numFmtId="169" formatCode="#,##0;\(#,##0\);\–"/>
    <numFmt numFmtId="170" formatCode="0.0\x;\(0.0&quot;x)&quot;;\–"/>
    <numFmt numFmtId="171" formatCode="0.00%;\(0.00%\);\–"/>
    <numFmt numFmtId="172" formatCode="0.000;\(0.000\);\0"/>
    <numFmt numFmtId="173" formatCode="\€#,##0.00"/>
    <numFmt numFmtId="174" formatCode="0.00\x;\(0.00&quot;x)&quot;;\–"/>
    <numFmt numFmtId="175" formatCode="#,##0.00"/>
    <numFmt numFmtId="176" formatCode="&quot;FY&quot;0\E"/>
    <numFmt numFmtId="177" formatCode="0.00"/>
    <numFmt numFmtId="178" formatCode="#,##0.0;\(#,##0.0\);\–"/>
    <numFmt numFmtId="179" formatCode="#,##0.00;\(#,##0.00\);\–"/>
    <numFmt numFmtId="180" formatCode="#,##0.000;\(#,##0.000\);\–"/>
    <numFmt numFmtId="181" formatCode="0.00%"/>
    <numFmt numFmtId="182" formatCode="#,##0.0"/>
    <numFmt numFmtId="183" formatCode="&quot;Exit FY&quot;0\E"/>
    <numFmt numFmtId="184" formatCode="#,##0"/>
    <numFmt numFmtId="185" formatCode="0.0000;\(0.0000\);\–"/>
    <numFmt numFmtId="186" formatCode="0.000\x"/>
    <numFmt numFmtId="187" formatCode="0.0\x"/>
    <numFmt numFmtId="188" formatCode="0.0%"/>
    <numFmt numFmtId="189" formatCode="0.00\x"/>
  </numFmts>
  <fonts count="2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000000"/>
      <name val="Arial"/>
      <family val="0"/>
      <charset val="1"/>
    </font>
    <font>
      <b val="true"/>
      <sz val="10"/>
      <color rgb="FFFF0000"/>
      <name val="Arial"/>
      <family val="0"/>
      <charset val="1"/>
    </font>
    <font>
      <i val="true"/>
      <sz val="10"/>
      <color rgb="FF595959"/>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sz val="10"/>
      <color rgb="FF008000"/>
      <name val="Arial"/>
      <family val="0"/>
      <charset val="1"/>
    </font>
    <font>
      <sz val="10"/>
      <color rgb="FFFF0000"/>
      <name val="Arial"/>
      <family val="0"/>
      <charset val="1"/>
    </font>
    <font>
      <b val="true"/>
      <sz val="10"/>
      <color rgb="FF008000"/>
      <name val="Arial"/>
      <family val="0"/>
      <charset val="1"/>
    </font>
    <font>
      <sz val="10"/>
      <name val="Arial"/>
      <family val="2"/>
    </font>
    <font>
      <i val="true"/>
      <sz val="10"/>
      <color rgb="FF000000"/>
      <name val="Arial"/>
      <family val="0"/>
      <charset val="1"/>
    </font>
    <font>
      <b val="true"/>
      <sz val="10"/>
      <color rgb="FF0000FF"/>
      <name val="Arial"/>
      <family val="0"/>
      <charset val="1"/>
    </font>
    <font>
      <sz val="10"/>
      <color rgb="FF595959"/>
      <name val="Arial"/>
      <family val="0"/>
      <charset val="1"/>
    </font>
    <font>
      <b val="true"/>
      <i val="true"/>
      <sz val="10"/>
      <color rgb="FF595959"/>
      <name val="Arial"/>
      <family val="0"/>
      <charset val="1"/>
    </font>
    <font>
      <sz val="10"/>
      <color rgb="FF404040"/>
      <name val="Arial"/>
      <family val="0"/>
      <charset val="1"/>
    </font>
    <font>
      <b val="true"/>
      <sz val="10"/>
      <color rgb="FF404040"/>
      <name val="Arial"/>
      <family val="0"/>
      <charset val="1"/>
    </font>
    <font>
      <b val="true"/>
      <sz val="14"/>
      <name val="Arial"/>
      <family val="0"/>
      <charset val="1"/>
    </font>
    <font>
      <i val="true"/>
      <sz val="9"/>
      <name val="Arial"/>
      <family val="0"/>
      <charset val="1"/>
    </font>
    <font>
      <sz val="10"/>
      <name val="Arial"/>
      <family val="0"/>
      <charset val="1"/>
    </font>
    <font>
      <b val="true"/>
      <sz val="10"/>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FFF2CC"/>
        <bgColor rgb="FFEDEDED"/>
      </patternFill>
    </fill>
    <fill>
      <patternFill patternType="solid">
        <fgColor rgb="FFEDEDED"/>
        <bgColor rgb="FFDDEBF7"/>
      </patternFill>
    </fill>
    <fill>
      <patternFill patternType="solid">
        <fgColor rgb="FFDDEBF7"/>
        <bgColor rgb="FFEDEDED"/>
      </patternFill>
    </fill>
    <fill>
      <patternFill patternType="solid">
        <fgColor rgb="FFC6EFCE"/>
        <bgColor rgb="FFDDEBF7"/>
      </patternFill>
    </fill>
    <fill>
      <patternFill patternType="solid">
        <fgColor rgb="FFFFC7CE"/>
        <bgColor rgb="FFEDEDED"/>
      </patternFill>
    </fill>
  </fills>
  <borders count="2">
    <border diagonalUp="false" diagonalDown="false">
      <left/>
      <right/>
      <top/>
      <bottom/>
      <diagonal/>
    </border>
    <border diagonalUp="false" diagonalDown="false">
      <left/>
      <right/>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general" vertical="bottom" textRotation="0" wrapText="false" indent="0" shrinkToFit="false"/>
      <protection locked="true" hidden="false"/>
    </xf>
    <xf numFmtId="165" fontId="10" fillId="3" borderId="0" xfId="0" applyFont="true" applyBorder="false" applyAlignment="true" applyProtection="false">
      <alignment horizontal="general" vertical="bottom" textRotation="0" wrapText="false" indent="0" shrinkToFit="false"/>
      <protection locked="true" hidden="false"/>
    </xf>
    <xf numFmtId="169" fontId="10" fillId="3" borderId="0" xfId="0" applyFont="true" applyBorder="false" applyAlignment="true" applyProtection="false">
      <alignment horizontal="general" vertical="bottom" textRotation="0" wrapText="false" indent="0" shrinkToFit="false"/>
      <protection locked="true" hidden="false"/>
    </xf>
    <xf numFmtId="170" fontId="10" fillId="3" borderId="0" xfId="0" applyFont="true" applyBorder="false" applyAlignment="true" applyProtection="false">
      <alignment horizontal="general" vertical="bottom" textRotation="0" wrapText="false" indent="0" shrinkToFit="false"/>
      <protection locked="true" hidden="false"/>
    </xf>
    <xf numFmtId="171" fontId="10" fillId="3"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72" fontId="12"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7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9" fontId="10" fillId="4" borderId="0" xfId="0" applyFont="true" applyBorder="false" applyAlignment="true" applyProtection="false">
      <alignment horizontal="general" vertical="bottom" textRotation="0" wrapText="false" indent="0" shrinkToFit="false"/>
      <protection locked="true" hidden="false"/>
    </xf>
    <xf numFmtId="166" fontId="10" fillId="4" borderId="0" xfId="0" applyFont="true" applyBorder="false" applyAlignment="true" applyProtection="false">
      <alignment horizontal="general" vertical="bottom" textRotation="0" wrapText="false" indent="0" shrinkToFit="false"/>
      <protection locked="true" hidden="false"/>
    </xf>
    <xf numFmtId="170" fontId="10" fillId="4" borderId="0" xfId="0" applyFont="true" applyBorder="false" applyAlignment="true" applyProtection="false">
      <alignment horizontal="general" vertical="bottom" textRotation="0" wrapText="false" indent="0" shrinkToFit="false"/>
      <protection locked="true" hidden="false"/>
    </xf>
    <xf numFmtId="174" fontId="10" fillId="4"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73" fontId="5" fillId="0" borderId="0" xfId="0" applyFont="true" applyBorder="false" applyAlignment="true" applyProtection="false">
      <alignment horizontal="general" vertical="bottom" textRotation="0" wrapText="false" indent="0" shrinkToFit="false"/>
      <protection locked="true" hidden="false"/>
    </xf>
    <xf numFmtId="175"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75" fontId="9"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75" fontId="5"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76" fontId="5" fillId="0" borderId="1"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7" fontId="10" fillId="0" borderId="0" xfId="0" applyFont="true" applyBorder="false" applyAlignment="true" applyProtection="false">
      <alignment horizontal="general" vertical="bottom" textRotation="0" wrapText="false" indent="0" shrinkToFit="false"/>
      <protection locked="true" hidden="false"/>
    </xf>
    <xf numFmtId="178" fontId="10" fillId="0" borderId="0" xfId="0" applyFont="true" applyBorder="false" applyAlignment="true" applyProtection="false">
      <alignment horizontal="general" vertical="bottom" textRotation="0" wrapText="false" indent="0" shrinkToFit="false"/>
      <protection locked="true" hidden="false"/>
    </xf>
    <xf numFmtId="178" fontId="9" fillId="0" borderId="0" xfId="0" applyFont="true" applyBorder="false" applyAlignment="true" applyProtection="false">
      <alignment horizontal="general" vertical="bottom" textRotation="0" wrapText="false" indent="0" shrinkToFit="false"/>
      <protection locked="true" hidden="false"/>
    </xf>
    <xf numFmtId="179" fontId="10" fillId="0" borderId="0" xfId="0" applyFont="true" applyBorder="false" applyAlignment="true" applyProtection="false">
      <alignment horizontal="general" vertical="bottom" textRotation="0" wrapText="false" indent="0" shrinkToFit="false"/>
      <protection locked="true" hidden="false"/>
    </xf>
    <xf numFmtId="179" fontId="9" fillId="0" borderId="0" xfId="0" applyFont="true" applyBorder="false" applyAlignment="true" applyProtection="false">
      <alignment horizontal="general" vertical="bottom" textRotation="0" wrapText="false" indent="0" shrinkToFit="false"/>
      <protection locked="true" hidden="false"/>
    </xf>
    <xf numFmtId="178" fontId="5" fillId="0" borderId="0" xfId="0" applyFont="true" applyBorder="false" applyAlignment="tru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69" fontId="5" fillId="5"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80" fontId="9"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81" fontId="10" fillId="3" borderId="0" xfId="0" applyFont="true" applyBorder="false" applyAlignment="true" applyProtection="false">
      <alignment horizontal="general" vertical="bottom" textRotation="0" wrapText="false" indent="0" shrinkToFit="false"/>
      <protection locked="true" hidden="false"/>
    </xf>
    <xf numFmtId="176" fontId="5" fillId="0" borderId="0" xfId="0" applyFont="true" applyBorder="false" applyAlignment="true" applyProtection="false">
      <alignment horizontal="right" vertical="bottom" textRotation="0" wrapText="false" indent="0" shrinkToFit="false"/>
      <protection locked="true" hidden="false"/>
    </xf>
    <xf numFmtId="174" fontId="5" fillId="0" borderId="0" xfId="0" applyFont="true" applyBorder="false" applyAlignment="true" applyProtection="false">
      <alignment horizontal="general" vertical="bottom" textRotation="0" wrapText="false" indent="0" shrinkToFit="false"/>
      <protection locked="true" hidden="false"/>
    </xf>
    <xf numFmtId="170" fontId="16" fillId="5"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6" fontId="16" fillId="5" borderId="0" xfId="0" applyFont="true" applyBorder="false" applyAlignment="true" applyProtection="false">
      <alignment horizontal="general" vertical="bottom" textRotation="0" wrapText="false" indent="0" shrinkToFit="false"/>
      <protection locked="true" hidden="false"/>
    </xf>
    <xf numFmtId="174" fontId="19" fillId="4" borderId="0" xfId="0" applyFont="true" applyBorder="false" applyAlignment="true" applyProtection="false">
      <alignment horizontal="general" vertical="bottom" textRotation="0" wrapText="false" indent="0" shrinkToFit="false"/>
      <protection locked="true" hidden="false"/>
    </xf>
    <xf numFmtId="182" fontId="7" fillId="0" borderId="0" xfId="0" applyFont="true" applyBorder="false" applyAlignment="true" applyProtection="false">
      <alignment horizontal="general" vertical="bottom" textRotation="0" wrapText="false" indent="0" shrinkToFit="false"/>
      <protection locked="true" hidden="false"/>
    </xf>
    <xf numFmtId="166" fontId="19" fillId="4" borderId="0" xfId="0" applyFont="true" applyBorder="false" applyAlignment="true" applyProtection="false">
      <alignment horizontal="general" vertical="bottom" textRotation="0" wrapText="false" indent="0" shrinkToFit="false"/>
      <protection locked="true" hidden="false"/>
    </xf>
    <xf numFmtId="174" fontId="20" fillId="6" borderId="0" xfId="0" applyFont="true" applyBorder="false" applyAlignment="true" applyProtection="false">
      <alignment horizontal="general" vertical="bottom" textRotation="0" wrapText="false" indent="0" shrinkToFit="false"/>
      <protection locked="true" hidden="false"/>
    </xf>
    <xf numFmtId="174" fontId="19" fillId="6" borderId="0" xfId="0" applyFont="true" applyBorder="false" applyAlignment="true" applyProtection="false">
      <alignment horizontal="general" vertical="bottom" textRotation="0" wrapText="false" indent="0" shrinkToFit="false"/>
      <protection locked="true" hidden="false"/>
    </xf>
    <xf numFmtId="166" fontId="20" fillId="6" borderId="0" xfId="0" applyFont="true" applyBorder="false" applyAlignment="true" applyProtection="false">
      <alignment horizontal="general" vertical="bottom" textRotation="0" wrapText="false" indent="0" shrinkToFit="false"/>
      <protection locked="true" hidden="false"/>
    </xf>
    <xf numFmtId="166" fontId="19" fillId="7" borderId="0" xfId="0" applyFont="true" applyBorder="false" applyAlignment="true" applyProtection="false">
      <alignment horizontal="general" vertical="bottom" textRotation="0" wrapText="false" indent="0" shrinkToFit="false"/>
      <protection locked="true" hidden="false"/>
    </xf>
    <xf numFmtId="166" fontId="19" fillId="4" borderId="0" xfId="0" applyFont="true" applyBorder="false" applyAlignment="true" applyProtection="false">
      <alignment horizontal="right" vertical="bottom" textRotation="0" wrapText="false" indent="0" shrinkToFit="false"/>
      <protection locked="true" hidden="false"/>
    </xf>
    <xf numFmtId="178" fontId="19" fillId="4" borderId="0" xfId="0" applyFont="true" applyBorder="false" applyAlignment="true" applyProtection="false">
      <alignment horizontal="general" vertical="bottom" textRotation="0" wrapText="false" indent="0" shrinkToFit="false"/>
      <protection locked="true" hidden="false"/>
    </xf>
    <xf numFmtId="170" fontId="19" fillId="4" borderId="0" xfId="0" applyFont="true" applyBorder="false" applyAlignment="true" applyProtection="false">
      <alignment horizontal="right" vertical="bottom" textRotation="0" wrapText="false" indent="0" shrinkToFit="false"/>
      <protection locked="true" hidden="false"/>
    </xf>
    <xf numFmtId="164" fontId="19" fillId="4"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70" fontId="19" fillId="4" borderId="0" xfId="0" applyFont="true" applyBorder="false" applyAlignment="true" applyProtection="false">
      <alignment horizontal="left" vertical="bottom" textRotation="0" wrapText="false" indent="0" shrinkToFit="false"/>
      <protection locked="true" hidden="false"/>
    </xf>
    <xf numFmtId="178" fontId="19" fillId="4" borderId="0" xfId="0" applyFont="true" applyBorder="false" applyAlignment="true" applyProtection="false">
      <alignment horizontal="right" vertical="bottom" textRotation="0" wrapText="false" indent="0" shrinkToFit="false"/>
      <protection locked="true" hidden="false"/>
    </xf>
    <xf numFmtId="174" fontId="19" fillId="4" borderId="0" xfId="0" applyFont="true" applyBorder="false" applyAlignment="true" applyProtection="false">
      <alignment horizontal="right" vertical="bottom" textRotation="0" wrapText="false" indent="0" shrinkToFit="false"/>
      <protection locked="true" hidden="false"/>
    </xf>
    <xf numFmtId="169" fontId="19" fillId="4" borderId="0" xfId="0" applyFont="true" applyBorder="false" applyAlignment="true" applyProtection="false">
      <alignment horizontal="right" vertical="bottom" textRotation="0" wrapText="false" indent="0" shrinkToFit="false"/>
      <protection locked="true" hidden="false"/>
    </xf>
    <xf numFmtId="165" fontId="19" fillId="4" borderId="0" xfId="0" applyFont="true" applyBorder="false" applyAlignment="true" applyProtection="false">
      <alignment horizontal="right" vertical="bottom" textRotation="0" wrapText="false" indent="0" shrinkToFit="false"/>
      <protection locked="true" hidden="false"/>
    </xf>
    <xf numFmtId="164" fontId="19" fillId="7"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7" fontId="19" fillId="4" borderId="0" xfId="0" applyFont="true" applyBorder="false" applyAlignment="true" applyProtection="false">
      <alignment horizontal="right" vertical="bottom" textRotation="0" wrapText="false" indent="0" shrinkToFit="false"/>
      <protection locked="true" hidden="false"/>
    </xf>
    <xf numFmtId="170" fontId="13" fillId="5" borderId="0" xfId="0" applyFont="true" applyBorder="false" applyAlignment="true" applyProtection="false">
      <alignment horizontal="general" vertical="bottom" textRotation="0" wrapText="false" indent="0" shrinkToFit="false"/>
      <protection locked="true" hidden="false"/>
    </xf>
    <xf numFmtId="183" fontId="5" fillId="0"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78" fontId="11" fillId="0" borderId="0" xfId="0" applyFont="true" applyBorder="false" applyAlignment="true" applyProtection="false">
      <alignment horizontal="general" vertical="bottom" textRotation="0" wrapText="false" indent="0" shrinkToFit="false"/>
      <protection locked="true" hidden="false"/>
    </xf>
    <xf numFmtId="169" fontId="19" fillId="4" borderId="0" xfId="0" applyFont="true" applyBorder="false" applyAlignment="true" applyProtection="false">
      <alignment horizontal="general" vertical="bottom" textRotation="0" wrapText="false" indent="0" shrinkToFit="false"/>
      <protection locked="true" hidden="false"/>
    </xf>
    <xf numFmtId="175" fontId="19" fillId="4" borderId="0" xfId="0" applyFont="true" applyBorder="false" applyAlignment="true" applyProtection="false">
      <alignment horizontal="general" vertical="bottom" textRotation="0" wrapText="false" indent="0" shrinkToFit="false"/>
      <protection locked="true" hidden="false"/>
    </xf>
    <xf numFmtId="184" fontId="9"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71" fontId="19" fillId="4" borderId="0" xfId="0" applyFont="true" applyBorder="false" applyAlignment="true" applyProtection="false">
      <alignment horizontal="right" vertical="bottom" textRotation="0" wrapText="false" indent="0" shrinkToFit="false"/>
      <protection locked="true" hidden="false"/>
    </xf>
    <xf numFmtId="185" fontId="9" fillId="0" borderId="0" xfId="0" applyFont="true" applyBorder="false" applyAlignment="true" applyProtection="false">
      <alignment horizontal="right" vertical="bottom" textRotation="0" wrapText="false" indent="0" shrinkToFit="false"/>
      <protection locked="true" hidden="false"/>
    </xf>
    <xf numFmtId="171" fontId="19" fillId="4" borderId="0" xfId="0" applyFont="tru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right" vertical="bottom" textRotation="0" wrapText="false" indent="0" shrinkToFit="false"/>
      <protection locked="true" hidden="false"/>
    </xf>
    <xf numFmtId="168" fontId="19" fillId="0" borderId="0" xfId="0" applyFont="true" applyBorder="false" applyAlignment="true" applyProtection="false">
      <alignment horizontal="right" vertical="bottom" textRotation="0" wrapText="false" indent="0" shrinkToFit="false"/>
      <protection locked="true" hidden="false"/>
    </xf>
    <xf numFmtId="185" fontId="1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81" fontId="9" fillId="0" borderId="0" xfId="0" applyFont="true" applyBorder="false" applyAlignment="true" applyProtection="false">
      <alignment horizontal="general" vertical="top" textRotation="0" wrapText="true" indent="0" shrinkToFit="false"/>
      <protection locked="true" hidden="false"/>
    </xf>
    <xf numFmtId="186" fontId="9" fillId="0" borderId="0" xfId="0" applyFont="true" applyBorder="false" applyAlignment="true" applyProtection="false">
      <alignment horizontal="general" vertical="top" textRotation="0" wrapText="true" indent="0" shrinkToFit="false"/>
      <protection locked="true" hidden="false"/>
    </xf>
    <xf numFmtId="187" fontId="9"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7" fontId="11" fillId="0" borderId="0" xfId="0" applyFont="true" applyBorder="false" applyAlignment="true" applyProtection="false">
      <alignment horizontal="right" vertical="bottom" textRotation="0" wrapText="false" indent="0" shrinkToFit="false"/>
      <protection locked="true" hidden="false"/>
    </xf>
    <xf numFmtId="184" fontId="11" fillId="0" borderId="0" xfId="0" applyFont="true" applyBorder="false" applyAlignment="true" applyProtection="false">
      <alignment horizontal="right" vertical="bottom" textRotation="0" wrapText="false" indent="0" shrinkToFit="false"/>
      <protection locked="true" hidden="false"/>
    </xf>
    <xf numFmtId="187" fontId="11" fillId="0" borderId="0" xfId="0" applyFont="true" applyBorder="false" applyAlignment="true" applyProtection="false">
      <alignment horizontal="right" vertical="bottom" textRotation="0" wrapText="false" indent="0" shrinkToFit="false"/>
      <protection locked="true" hidden="false"/>
    </xf>
    <xf numFmtId="188" fontId="11" fillId="0" borderId="0" xfId="0" applyFont="true" applyBorder="false" applyAlignment="true" applyProtection="false">
      <alignment horizontal="right" vertical="bottom" textRotation="0" wrapText="false" indent="0" shrinkToFit="false"/>
      <protection locked="true" hidden="false"/>
    </xf>
    <xf numFmtId="189"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K7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14"/>
    <col collapsed="false" customWidth="true" hidden="false" outlineLevel="0" max="4" min="4" style="1" width="58"/>
    <col collapsed="false" customWidth="true" hidden="false" outlineLevel="0" max="12" min="5" style="1" width="12"/>
  </cols>
  <sheetData>
    <row r="1" customFormat="false" ht="17.25" hidden="false" customHeight="true" outlineLevel="0" collapsed="false">
      <c r="B1" s="2" t="s">
        <v>0</v>
      </c>
      <c r="J1" s="3" t="s">
        <v>1</v>
      </c>
      <c r="K1" s="4" t="str">
        <f aca="false">$D$49</f>
        <v>OK</v>
      </c>
    </row>
    <row r="2" customFormat="false" ht="15" hidden="false" customHeight="true" outlineLevel="0" collapsed="false">
      <c r="B2" s="5" t="s">
        <v>2</v>
      </c>
    </row>
    <row r="3" customFormat="false" ht="15" hidden="false" customHeight="true" outlineLevel="0" collapsed="false">
      <c r="B3" s="6" t="s">
        <v>3</v>
      </c>
      <c r="C3" s="6"/>
      <c r="D3" s="6"/>
      <c r="E3" s="6"/>
      <c r="F3" s="6"/>
      <c r="G3" s="6"/>
      <c r="H3" s="6"/>
    </row>
    <row r="4" customFormat="false" ht="15" hidden="false" customHeight="true" outlineLevel="0" collapsed="false">
      <c r="B4" s="7" t="s">
        <v>4</v>
      </c>
      <c r="C4" s="8" t="s">
        <v>5</v>
      </c>
      <c r="D4" s="5" t="s">
        <v>6</v>
      </c>
    </row>
    <row r="5" customFormat="false" ht="15" hidden="false" customHeight="true" outlineLevel="0" collapsed="false">
      <c r="B5" s="7" t="s">
        <v>7</v>
      </c>
      <c r="C5" s="9" t="n">
        <f aca="false">MATCH(C4,$E$23:$G$23,0)</f>
        <v>1</v>
      </c>
      <c r="D5" s="5" t="s">
        <v>8</v>
      </c>
    </row>
    <row r="7" customFormat="false" ht="15" hidden="false" customHeight="true" outlineLevel="0" collapsed="false">
      <c r="B7" s="7" t="s">
        <v>9</v>
      </c>
      <c r="C7" s="10" t="n">
        <v>0.3</v>
      </c>
      <c r="D7" s="5" t="s">
        <v>10</v>
      </c>
    </row>
    <row r="8" customFormat="false" ht="15" hidden="false" customHeight="true" outlineLevel="0" collapsed="false">
      <c r="B8" s="7" t="s">
        <v>11</v>
      </c>
      <c r="C8" s="11" t="n">
        <v>490.3</v>
      </c>
      <c r="D8" s="5" t="s">
        <v>12</v>
      </c>
    </row>
    <row r="9" customFormat="false" ht="15" hidden="false" customHeight="true" outlineLevel="0" collapsed="false">
      <c r="B9" s="7" t="s">
        <v>13</v>
      </c>
      <c r="C9" s="12" t="n">
        <v>0.8756</v>
      </c>
      <c r="D9" s="5" t="s">
        <v>14</v>
      </c>
    </row>
    <row r="10" customFormat="false" ht="15" hidden="false" customHeight="true" outlineLevel="0" collapsed="false">
      <c r="B10" s="7" t="s">
        <v>15</v>
      </c>
      <c r="C10" s="13" t="n">
        <v>0</v>
      </c>
      <c r="D10" s="5" t="s">
        <v>16</v>
      </c>
    </row>
    <row r="11" customFormat="false" ht="15" hidden="false" customHeight="true" outlineLevel="0" collapsed="false">
      <c r="B11" s="7" t="s">
        <v>17</v>
      </c>
      <c r="C11" s="13" t="n">
        <v>1</v>
      </c>
      <c r="D11" s="5"/>
    </row>
    <row r="12" customFormat="false" ht="15" hidden="false" customHeight="true" outlineLevel="0" collapsed="false">
      <c r="B12" s="7" t="s">
        <v>18</v>
      </c>
      <c r="C12" s="10" t="n">
        <v>1</v>
      </c>
      <c r="D12" s="5"/>
    </row>
    <row r="13" customFormat="false" ht="15" hidden="false" customHeight="true" outlineLevel="0" collapsed="false">
      <c r="B13" s="7" t="s">
        <v>19</v>
      </c>
      <c r="C13" s="14" t="n">
        <v>1500</v>
      </c>
      <c r="D13" s="5" t="s">
        <v>20</v>
      </c>
    </row>
    <row r="14" customFormat="false" ht="15" hidden="false" customHeight="true" outlineLevel="0" collapsed="false">
      <c r="B14" s="7" t="s">
        <v>21</v>
      </c>
      <c r="C14" s="15" t="n">
        <v>6</v>
      </c>
      <c r="D14" s="5"/>
    </row>
    <row r="15" customFormat="false" ht="15" hidden="false" customHeight="true" outlineLevel="0" collapsed="false">
      <c r="B15" s="7" t="s">
        <v>22</v>
      </c>
      <c r="C15" s="16" t="n">
        <v>0.0035</v>
      </c>
      <c r="D15" s="5" t="s">
        <v>23</v>
      </c>
    </row>
    <row r="16" customFormat="false" ht="15" hidden="false" customHeight="true" outlineLevel="0" collapsed="false">
      <c r="B16" s="7" t="s">
        <v>24</v>
      </c>
      <c r="C16" s="16" t="n">
        <v>0.0225</v>
      </c>
      <c r="D16" s="5" t="s">
        <v>25</v>
      </c>
    </row>
    <row r="17" customFormat="false" ht="15" hidden="false" customHeight="true" outlineLevel="0" collapsed="false">
      <c r="B17" s="7" t="s">
        <v>26</v>
      </c>
      <c r="C17" s="16" t="n">
        <v>0.005</v>
      </c>
      <c r="D17" s="5" t="s">
        <v>27</v>
      </c>
    </row>
    <row r="18" customFormat="false" ht="15" hidden="false" customHeight="true" outlineLevel="0" collapsed="false">
      <c r="B18" s="7" t="s">
        <v>28</v>
      </c>
      <c r="C18" s="16" t="n">
        <v>0.2494</v>
      </c>
      <c r="D18" s="5" t="s">
        <v>29</v>
      </c>
    </row>
    <row r="19" customFormat="false" ht="15" hidden="false" customHeight="true" outlineLevel="0" collapsed="false">
      <c r="B19" s="7" t="s">
        <v>30</v>
      </c>
      <c r="C19" s="10" t="n">
        <v>0.3</v>
      </c>
      <c r="D19" s="5" t="s">
        <v>31</v>
      </c>
    </row>
    <row r="20" customFormat="false" ht="15" hidden="false" customHeight="true" outlineLevel="0" collapsed="false">
      <c r="B20" s="7" t="s">
        <v>32</v>
      </c>
      <c r="C20" s="10" t="n">
        <v>0.08</v>
      </c>
      <c r="D20" s="5"/>
    </row>
    <row r="21" customFormat="false" ht="15" hidden="false" customHeight="true" outlineLevel="0" collapsed="false">
      <c r="B21" s="7" t="s">
        <v>33</v>
      </c>
      <c r="C21" s="15"/>
      <c r="D21" s="5" t="s">
        <v>34</v>
      </c>
    </row>
    <row r="22" customFormat="false" ht="15" hidden="false" customHeight="true" outlineLevel="0" collapsed="false">
      <c r="B22" s="7" t="s">
        <v>35</v>
      </c>
      <c r="C22" s="17" t="n">
        <f aca="false">IF(C21="",H35,C21)</f>
        <v>22</v>
      </c>
      <c r="D22" s="5"/>
    </row>
    <row r="23" customFormat="false" ht="15" hidden="false" customHeight="true" outlineLevel="0" collapsed="false">
      <c r="B23" s="6" t="s">
        <v>36</v>
      </c>
      <c r="C23" s="6"/>
      <c r="D23" s="6"/>
      <c r="E23" s="18" t="s">
        <v>5</v>
      </c>
      <c r="F23" s="18" t="s">
        <v>37</v>
      </c>
      <c r="G23" s="18" t="s">
        <v>38</v>
      </c>
      <c r="H23" s="18" t="s">
        <v>39</v>
      </c>
    </row>
    <row r="24" customFormat="false" ht="15" hidden="false" customHeight="true" outlineLevel="0" collapsed="false">
      <c r="B24" s="7" t="s">
        <v>40</v>
      </c>
      <c r="E24" s="10" t="n">
        <v>0.075</v>
      </c>
      <c r="F24" s="10" t="n">
        <v>0.09</v>
      </c>
      <c r="G24" s="10" t="n">
        <v>0.05</v>
      </c>
      <c r="H24" s="19" t="n">
        <f aca="false">INDEX(E24:G24,1,$C$5)</f>
        <v>0.075</v>
      </c>
    </row>
    <row r="25" customFormat="false" ht="15" hidden="false" customHeight="true" outlineLevel="0" collapsed="false">
      <c r="B25" s="7" t="s">
        <v>41</v>
      </c>
      <c r="E25" s="10" t="n">
        <v>0.04</v>
      </c>
      <c r="F25" s="10" t="n">
        <v>0.05</v>
      </c>
      <c r="G25" s="10" t="n">
        <v>0.03</v>
      </c>
      <c r="H25" s="19" t="n">
        <f aca="false">INDEX(E25:G25,1,$C$5)</f>
        <v>0.04</v>
      </c>
    </row>
    <row r="26" customFormat="false" ht="15" hidden="false" customHeight="true" outlineLevel="0" collapsed="false">
      <c r="B26" s="7" t="s">
        <v>42</v>
      </c>
      <c r="E26" s="10" t="n">
        <v>0.04</v>
      </c>
      <c r="F26" s="10" t="n">
        <v>0.05</v>
      </c>
      <c r="G26" s="10" t="n">
        <v>0.025</v>
      </c>
      <c r="H26" s="19" t="n">
        <f aca="false">INDEX(E26:G26,1,$C$5)</f>
        <v>0.04</v>
      </c>
    </row>
    <row r="27" customFormat="false" ht="15" hidden="false" customHeight="true" outlineLevel="0" collapsed="false">
      <c r="B27" s="7" t="s">
        <v>43</v>
      </c>
      <c r="E27" s="16" t="n">
        <v>0.02</v>
      </c>
      <c r="F27" s="16" t="n">
        <v>0.018</v>
      </c>
      <c r="G27" s="16" t="n">
        <v>0.024</v>
      </c>
      <c r="H27" s="20" t="n">
        <f aca="false">INDEX(E27:G27,1,$C$5)</f>
        <v>0.02</v>
      </c>
    </row>
    <row r="28" customFormat="false" ht="15" hidden="false" customHeight="true" outlineLevel="0" collapsed="false">
      <c r="B28" s="7" t="s">
        <v>44</v>
      </c>
      <c r="E28" s="10" t="n">
        <v>0.08</v>
      </c>
      <c r="F28" s="10" t="n">
        <v>0.12</v>
      </c>
      <c r="G28" s="10" t="n">
        <v>0.03</v>
      </c>
      <c r="H28" s="19" t="n">
        <f aca="false">INDEX(E28:G28,1,$C$5)</f>
        <v>0.08</v>
      </c>
    </row>
    <row r="29" customFormat="false" ht="15" hidden="false" customHeight="true" outlineLevel="0" collapsed="false">
      <c r="B29" s="7" t="s">
        <v>45</v>
      </c>
      <c r="E29" s="13" t="n">
        <v>70</v>
      </c>
      <c r="F29" s="13" t="n">
        <v>110</v>
      </c>
      <c r="G29" s="13" t="n">
        <v>15</v>
      </c>
      <c r="H29" s="21" t="n">
        <f aca="false">INDEX(E29:G29,1,$C$5)</f>
        <v>70</v>
      </c>
    </row>
    <row r="30" customFormat="false" ht="15" hidden="false" customHeight="true" outlineLevel="0" collapsed="false">
      <c r="B30" s="7" t="s">
        <v>46</v>
      </c>
      <c r="E30" s="10" t="n">
        <v>0.3</v>
      </c>
      <c r="F30" s="10" t="n">
        <v>0.34</v>
      </c>
      <c r="G30" s="10" t="n">
        <v>0.22</v>
      </c>
      <c r="H30" s="19" t="n">
        <f aca="false">INDEX(E30:G30,1,$C$5)</f>
        <v>0.3</v>
      </c>
    </row>
    <row r="31" customFormat="false" ht="15" hidden="false" customHeight="true" outlineLevel="0" collapsed="false">
      <c r="B31" s="7" t="s">
        <v>47</v>
      </c>
      <c r="E31" s="10" t="n">
        <v>0.07</v>
      </c>
      <c r="F31" s="10" t="n">
        <v>0.065</v>
      </c>
      <c r="G31" s="10" t="n">
        <v>0.078</v>
      </c>
      <c r="H31" s="19" t="n">
        <f aca="false">INDEX(E31:G31,1,$C$5)</f>
        <v>0.07</v>
      </c>
    </row>
    <row r="32" customFormat="false" ht="15" hidden="false" customHeight="true" outlineLevel="0" collapsed="false">
      <c r="B32" s="7" t="s">
        <v>48</v>
      </c>
      <c r="E32" s="10" t="n">
        <v>0.07</v>
      </c>
      <c r="F32" s="10" t="n">
        <v>0.066</v>
      </c>
      <c r="G32" s="10" t="n">
        <v>0.076</v>
      </c>
      <c r="H32" s="19" t="n">
        <f aca="false">INDEX(E32:G32,1,$C$5)</f>
        <v>0.07</v>
      </c>
    </row>
    <row r="33" customFormat="false" ht="15" hidden="false" customHeight="true" outlineLevel="0" collapsed="false">
      <c r="B33" s="7" t="s">
        <v>49</v>
      </c>
      <c r="E33" s="10" t="n">
        <v>0.025</v>
      </c>
      <c r="F33" s="10" t="n">
        <v>0.024</v>
      </c>
      <c r="G33" s="10" t="n">
        <v>0.026</v>
      </c>
      <c r="H33" s="19" t="n">
        <f aca="false">INDEX(E33:G33,1,$C$5)</f>
        <v>0.025</v>
      </c>
    </row>
    <row r="34" customFormat="false" ht="15" hidden="false" customHeight="true" outlineLevel="0" collapsed="false">
      <c r="B34" s="7" t="s">
        <v>50</v>
      </c>
      <c r="E34" s="13" t="n">
        <v>0</v>
      </c>
      <c r="F34" s="13" t="n">
        <v>-25</v>
      </c>
      <c r="G34" s="13" t="n">
        <v>100</v>
      </c>
      <c r="H34" s="21" t="n">
        <f aca="false">INDEX(E34:G34,1,$C$5)</f>
        <v>0</v>
      </c>
    </row>
    <row r="35" customFormat="false" ht="15" hidden="false" customHeight="true" outlineLevel="0" collapsed="false">
      <c r="B35" s="7" t="s">
        <v>51</v>
      </c>
      <c r="E35" s="15" t="n">
        <v>22</v>
      </c>
      <c r="F35" s="15" t="n">
        <v>25</v>
      </c>
      <c r="G35" s="15" t="n">
        <v>16</v>
      </c>
      <c r="H35" s="22" t="n">
        <f aca="false">INDEX(E35:G35,1,$C$5)</f>
        <v>22</v>
      </c>
    </row>
    <row r="36" customFormat="false" ht="15" hidden="false" customHeight="true" outlineLevel="0" collapsed="false">
      <c r="B36" s="7" t="s">
        <v>52</v>
      </c>
      <c r="E36" s="10" t="n">
        <v>0.5</v>
      </c>
      <c r="F36" s="10" t="n">
        <v>0.4</v>
      </c>
      <c r="G36" s="10" t="n">
        <v>0.6</v>
      </c>
      <c r="H36" s="19" t="n">
        <f aca="false">INDEX(E36:G36,1,$C$5)</f>
        <v>0.5</v>
      </c>
    </row>
    <row r="37" customFormat="false" ht="15" hidden="false" customHeight="true" outlineLevel="0" collapsed="false">
      <c r="B37" s="7" t="s">
        <v>53</v>
      </c>
      <c r="C37" s="23" t="n">
        <f aca="false">'4_Debt_Schedule'!C73</f>
        <v>0</v>
      </c>
      <c r="D37" s="5" t="s">
        <v>54</v>
      </c>
    </row>
    <row r="39" customFormat="false" ht="15" hidden="false" customHeight="true" outlineLevel="0" collapsed="false">
      <c r="B39" s="6" t="s">
        <v>55</v>
      </c>
      <c r="C39" s="6"/>
      <c r="D39" s="6"/>
      <c r="E39" s="6"/>
      <c r="F39" s="6"/>
      <c r="G39" s="6"/>
      <c r="H39" s="6"/>
    </row>
    <row r="40" customFormat="false" ht="15" hidden="false" customHeight="true" outlineLevel="0" collapsed="false">
      <c r="B40" s="7" t="s">
        <v>56</v>
      </c>
      <c r="D40" s="24" t="n">
        <f aca="false">SUMPRODUCT(ABS('3_Financial_Statements'!E66:L66))</f>
        <v>0</v>
      </c>
    </row>
    <row r="41" customFormat="false" ht="15" hidden="false" customHeight="true" outlineLevel="0" collapsed="false">
      <c r="B41" s="7" t="s">
        <v>57</v>
      </c>
      <c r="D41" s="24" t="n">
        <f aca="false">SUMPRODUCT(ABS('3_Financial_Statements'!F44:L44-'3_Financial_Statements'!F47:L47))</f>
        <v>0</v>
      </c>
    </row>
    <row r="42" customFormat="false" ht="15" hidden="false" customHeight="true" outlineLevel="0" collapsed="false">
      <c r="B42" s="7" t="s">
        <v>58</v>
      </c>
      <c r="D42" s="24" t="n">
        <f aca="false">ABS('1_Transaction_Summary'!C52)</f>
        <v>0</v>
      </c>
    </row>
    <row r="43" customFormat="false" ht="15" hidden="false" customHeight="true" outlineLevel="0" collapsed="false">
      <c r="B43" s="7" t="s">
        <v>59</v>
      </c>
      <c r="D43" s="24" t="n">
        <f aca="false">COUNTIF('4_Debt_Schedule'!F31:L31,"&lt;-0.001")+COUNTIF('4_Debt_Schedule'!F36:L36,"&lt;-0.001")+COUNTIF('4_Debt_Schedule'!F47:L47,"&lt;-0.001")</f>
        <v>0</v>
      </c>
    </row>
    <row r="44" customFormat="false" ht="15" hidden="false" customHeight="true" outlineLevel="0" collapsed="false">
      <c r="B44" s="7" t="s">
        <v>60</v>
      </c>
      <c r="D44" s="24" t="n">
        <f aca="false">COUNTIF('4_Debt_Schedule'!F47:L47,"&gt;"&amp;'4_Debt_Schedule'!C15+0.001)</f>
        <v>0</v>
      </c>
    </row>
    <row r="45" customFormat="false" ht="15" hidden="false" customHeight="true" outlineLevel="0" collapsed="false">
      <c r="B45" s="7" t="s">
        <v>61</v>
      </c>
      <c r="D45" s="24" t="n">
        <f aca="false">COUNTIF('3_Financial_Statements'!F44:L44,"&lt;"&amp;($C$13-0.5))</f>
        <v>0</v>
      </c>
    </row>
    <row r="46" customFormat="false" ht="15" hidden="false" customHeight="true" outlineLevel="0" collapsed="false">
      <c r="B46" s="7" t="s">
        <v>62</v>
      </c>
      <c r="D46" s="24" t="n">
        <f aca="false">COUNTIF('4_Debt_Schedule'!F68:L68,"BREACH")</f>
        <v>0</v>
      </c>
    </row>
    <row r="47" customFormat="false" ht="15" hidden="false" customHeight="true" outlineLevel="0" collapsed="false">
      <c r="B47" s="7" t="s">
        <v>63</v>
      </c>
      <c r="D47" s="24" t="n">
        <f aca="false">IF($C$10=1,ROUND(ABS('4_Debt_Schedule'!M60),2),0)</f>
        <v>0</v>
      </c>
    </row>
    <row r="49" customFormat="false" ht="15" hidden="false" customHeight="true" outlineLevel="0" collapsed="false">
      <c r="B49" s="3" t="s">
        <v>64</v>
      </c>
      <c r="D49" s="4" t="str">
        <f aca="false">IF(ROUND(SUM(D40:D47),2)=0,"OK","ERROR")</f>
        <v>OK</v>
      </c>
    </row>
    <row r="51" customFormat="false" ht="15" hidden="false" customHeight="true" outlineLevel="0" collapsed="false">
      <c r="B51" s="6" t="s">
        <v>65</v>
      </c>
      <c r="C51" s="6"/>
      <c r="D51" s="6"/>
      <c r="E51" s="6"/>
      <c r="F51" s="6"/>
      <c r="G51" s="6"/>
      <c r="H51" s="6"/>
    </row>
    <row r="52" customFormat="false" ht="15" hidden="false" customHeight="true" outlineLevel="0" collapsed="false">
      <c r="B52" s="7" t="s">
        <v>66</v>
      </c>
      <c r="C52" s="25" t="n">
        <f aca="false">'1_Transaction_Summary'!C6</f>
        <v>637.39</v>
      </c>
      <c r="E52" s="26" t="n">
        <f aca="false">'1_Transaction_Summary'!C8</f>
        <v>558.098684</v>
      </c>
    </row>
    <row r="53" customFormat="false" ht="15" hidden="false" customHeight="true" outlineLevel="0" collapsed="false">
      <c r="B53" s="7" t="s">
        <v>67</v>
      </c>
      <c r="C53" s="27" t="n">
        <f aca="false">'1_Transaction_Summary'!C19</f>
        <v>116840.946885395</v>
      </c>
      <c r="E53" s="27" t="n">
        <f aca="false">'1_Transaction_Summary'!C25</f>
        <v>106804.946885395</v>
      </c>
    </row>
    <row r="54" customFormat="false" ht="15" hidden="false" customHeight="true" outlineLevel="0" collapsed="false">
      <c r="B54" s="7" t="s">
        <v>68</v>
      </c>
      <c r="C54" s="28" t="n">
        <f aca="false">'1_Transaction_Summary'!C28</f>
        <v>32.5367420852693</v>
      </c>
      <c r="E54" s="28" t="n">
        <f aca="false">'1_Transaction_Summary'!C30</f>
        <v>32.7522069565761</v>
      </c>
    </row>
    <row r="55" customFormat="false" ht="15" hidden="false" customHeight="true" outlineLevel="0" collapsed="false">
      <c r="B55" s="7" t="s">
        <v>69</v>
      </c>
      <c r="C55" s="27" t="n">
        <f aca="false">'1_Transaction_Summary'!C47</f>
        <v>19700</v>
      </c>
      <c r="E55" s="28" t="n">
        <f aca="false">'1_Transaction_Summary'!E47</f>
        <v>6.00134954205438</v>
      </c>
    </row>
    <row r="56" customFormat="false" ht="15" hidden="false" customHeight="true" outlineLevel="0" collapsed="false">
      <c r="B56" s="7" t="s">
        <v>70</v>
      </c>
      <c r="C56" s="27" t="n">
        <f aca="false">'5_Returns_Sensitivities'!C14</f>
        <v>91000.9641994937</v>
      </c>
      <c r="E56" s="29" t="n">
        <f aca="false">'5_Returns_Sensitivities'!C14/'1_Transaction_Summary'!C51</f>
        <v>0.773153939888329</v>
      </c>
    </row>
    <row r="57" customFormat="false" ht="15" hidden="false" customHeight="true" outlineLevel="0" collapsed="false">
      <c r="B57" s="7" t="s">
        <v>71</v>
      </c>
      <c r="C57" s="27" t="n">
        <f aca="false">'5_Returns_Sensitivities'!C5</f>
        <v>8418.422305688</v>
      </c>
      <c r="E57" s="28" t="n">
        <f aca="false">'5_Returns_Sensitivities'!C6</f>
        <v>22</v>
      </c>
    </row>
    <row r="58" customFormat="false" ht="15" hidden="false" customHeight="true" outlineLevel="0" collapsed="false">
      <c r="B58" s="7" t="s">
        <v>72</v>
      </c>
      <c r="C58" s="30" t="n">
        <f aca="false">'5_Returns_Sensitivities'!C17</f>
        <v>2.09189420505759</v>
      </c>
      <c r="E58" s="29" t="n">
        <f aca="false">'5_Returns_Sensitivities'!C19</f>
        <v>0.111197838959669</v>
      </c>
    </row>
    <row r="59" customFormat="false" ht="15" hidden="false" customHeight="true" outlineLevel="0" collapsed="false">
      <c r="B59" s="7" t="s">
        <v>73</v>
      </c>
      <c r="C59" s="30" t="n">
        <f aca="false">'5_Returns_Sensitivities'!C31</f>
        <v>1.78951536404607</v>
      </c>
      <c r="E59" s="29" t="n">
        <f aca="false">'5_Returns_Sensitivities'!C32</f>
        <v>0.0840229476118282</v>
      </c>
    </row>
    <row r="60" customFormat="false" ht="15" hidden="false" customHeight="true" outlineLevel="0" collapsed="false">
      <c r="B60" s="7" t="s">
        <v>74</v>
      </c>
      <c r="C60" s="28" t="n">
        <f aca="false">'4_Debt_Schedule'!F65</f>
        <v>4.03518481744353</v>
      </c>
      <c r="E60" s="28" t="n">
        <f aca="false">'4_Debt_Schedule'!H65</f>
        <v>1.61797163709694</v>
      </c>
    </row>
    <row r="62" customFormat="false" ht="15" hidden="false" customHeight="true" outlineLevel="0" collapsed="false">
      <c r="B62" s="6" t="s">
        <v>75</v>
      </c>
      <c r="C62" s="6"/>
      <c r="D62" s="6"/>
      <c r="E62" s="6"/>
      <c r="F62" s="6"/>
      <c r="G62" s="6"/>
      <c r="H62" s="6"/>
      <c r="I62" s="6"/>
      <c r="J62" s="6"/>
      <c r="K62" s="6"/>
    </row>
    <row r="63" customFormat="false" ht="15" hidden="false" customHeight="true" outlineLevel="0" collapsed="false">
      <c r="E63" s="31" t="s">
        <v>5</v>
      </c>
      <c r="F63" s="31" t="s">
        <v>37</v>
      </c>
      <c r="G63" s="31" t="s">
        <v>38</v>
      </c>
    </row>
    <row r="64" customFormat="false" ht="15" hidden="false" customHeight="true" outlineLevel="0" collapsed="false">
      <c r="B64" s="7" t="s">
        <v>76</v>
      </c>
      <c r="E64" s="32" t="n">
        <v>8418.422305688</v>
      </c>
      <c r="F64" s="32" t="n">
        <v>11135.8780836278</v>
      </c>
      <c r="G64" s="32" t="n">
        <v>5278.27643434048</v>
      </c>
    </row>
    <row r="65" customFormat="false" ht="15" hidden="false" customHeight="true" outlineLevel="0" collapsed="false">
      <c r="B65" s="7" t="s">
        <v>77</v>
      </c>
      <c r="E65" s="33" t="n">
        <v>0.392688503221804</v>
      </c>
      <c r="F65" s="33" t="n">
        <v>0.420678339532008</v>
      </c>
      <c r="G65" s="33" t="n">
        <v>0.35204959118281</v>
      </c>
    </row>
    <row r="66" customFormat="false" ht="15" hidden="false" customHeight="true" outlineLevel="0" collapsed="false">
      <c r="B66" s="7" t="s">
        <v>78</v>
      </c>
      <c r="E66" s="34" t="n">
        <v>22</v>
      </c>
      <c r="F66" s="34" t="n">
        <v>25</v>
      </c>
      <c r="G66" s="34" t="n">
        <v>16</v>
      </c>
    </row>
    <row r="67" customFormat="false" ht="15" hidden="false" customHeight="true" outlineLevel="0" collapsed="false">
      <c r="B67" s="7" t="s">
        <v>79</v>
      </c>
      <c r="E67" s="35" t="n">
        <v>2.09189420505759</v>
      </c>
      <c r="F67" s="35" t="n">
        <v>3.12114250644528</v>
      </c>
      <c r="G67" s="35" t="n">
        <v>0.957815795416201</v>
      </c>
    </row>
    <row r="68" customFormat="false" ht="15" hidden="false" customHeight="true" outlineLevel="0" collapsed="false">
      <c r="B68" s="7" t="s">
        <v>80</v>
      </c>
      <c r="E68" s="33" t="n">
        <v>0.111197838959669</v>
      </c>
      <c r="F68" s="33" t="n">
        <v>0.176565821714755</v>
      </c>
      <c r="G68" s="33" t="n">
        <v>-0.00613819808039407</v>
      </c>
    </row>
    <row r="69" customFormat="false" ht="15" hidden="false" customHeight="true" outlineLevel="0" collapsed="false">
      <c r="B69" s="7" t="s">
        <v>81</v>
      </c>
      <c r="E69" s="35" t="n">
        <v>1.78951536404607</v>
      </c>
      <c r="F69" s="35" t="n">
        <v>2.61291400515622</v>
      </c>
      <c r="G69" s="35" t="n">
        <v>0.852815795416201</v>
      </c>
    </row>
    <row r="70" customFormat="false" ht="15" hidden="false" customHeight="true" outlineLevel="0" collapsed="false">
      <c r="B70" s="7" t="s">
        <v>82</v>
      </c>
      <c r="E70" s="33" t="n">
        <v>0.0840229476118282</v>
      </c>
      <c r="F70" s="33" t="n">
        <v>0.143417369845563</v>
      </c>
      <c r="G70" s="33" t="n">
        <v>-0.0214248340977719</v>
      </c>
    </row>
    <row r="71" customFormat="false" ht="15" hidden="false" customHeight="true" outlineLevel="0" collapsed="false">
      <c r="B71" s="7" t="s">
        <v>83</v>
      </c>
      <c r="E71" s="34" t="n">
        <v>4.03518481744353</v>
      </c>
      <c r="F71" s="34" t="n">
        <v>3.69891610981211</v>
      </c>
      <c r="G71" s="34" t="n">
        <v>4.61645905771916</v>
      </c>
    </row>
    <row r="72" customFormat="false" ht="15" hidden="false" customHeight="true" outlineLevel="0" collapsed="false">
      <c r="B72" s="3" t="s">
        <v>84</v>
      </c>
      <c r="C72" s="4" t="str">
        <f aca="false">IF(ABS(INDEX(E68:G68,1,C5)-'5_Returns_Sensitivities'!C19)&lt;0.00005,"CURRENT","STALE")</f>
        <v>CURRENT</v>
      </c>
      <c r="D72" s="5" t="s">
        <v>85</v>
      </c>
    </row>
  </sheetData>
  <conditionalFormatting sqref="D49">
    <cfRule type="expression" priority="2" aboveAverage="0" equalAverage="0" bottom="0" percent="0" rank="0" text="" dxfId="0">
      <formula>D49&lt;&gt;"OK"</formula>
    </cfRule>
  </conditionalFormatting>
  <dataValidations count="2">
    <dataValidation allowBlank="false" errorStyle="stop" operator="between" showDropDown="false" showErrorMessage="false" showInputMessage="false" sqref="C4" type="list">
      <formula1>"Base,Upside,Downside"</formula1>
      <formula2>0</formula2>
    </dataValidation>
    <dataValidation allowBlank="false" errorStyle="stop" operator="between" showDropDown="false" showErrorMessage="false" showInputMessage="false" sqref="C10:C11"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6" min="3" style="1" width="14"/>
    <col collapsed="false" customWidth="true" hidden="false" outlineLevel="0" max="7" min="7" style="1" width="40"/>
    <col collapsed="false" customWidth="true" hidden="false" outlineLevel="0" max="12" min="8" style="1" width="12"/>
  </cols>
  <sheetData>
    <row r="1" customFormat="false" ht="17.25" hidden="false" customHeight="true" outlineLevel="0" collapsed="false">
      <c r="B1" s="2" t="s">
        <v>86</v>
      </c>
      <c r="J1" s="3" t="s">
        <v>1</v>
      </c>
      <c r="K1" s="4" t="str">
        <f aca="false">'0_Dashboard_Toggles'!$D$49</f>
        <v>OK</v>
      </c>
    </row>
    <row r="2" customFormat="false" ht="15" hidden="false" customHeight="true" outlineLevel="0" collapsed="false">
      <c r="B2" s="5" t="s">
        <v>87</v>
      </c>
    </row>
    <row r="4" customFormat="false" ht="15" hidden="false" customHeight="true" outlineLevel="0" collapsed="false">
      <c r="B4" s="6" t="s">
        <v>88</v>
      </c>
      <c r="C4" s="6"/>
      <c r="D4" s="6"/>
      <c r="E4" s="6"/>
      <c r="F4" s="6"/>
      <c r="G4" s="6"/>
    </row>
    <row r="5" customFormat="false" ht="15" hidden="false" customHeight="true" outlineLevel="0" collapsed="false">
      <c r="B5" s="7" t="s">
        <v>11</v>
      </c>
      <c r="C5" s="25" t="n">
        <f aca="false">'0_Dashboard_Toggles'!C8</f>
        <v>490.3</v>
      </c>
    </row>
    <row r="6" customFormat="false" ht="15" hidden="false" customHeight="true" outlineLevel="0" collapsed="false">
      <c r="B6" s="7" t="s">
        <v>89</v>
      </c>
      <c r="C6" s="25" t="n">
        <f aca="false">C5*(1+'0_Dashboard_Toggles'!C7)</f>
        <v>637.39</v>
      </c>
    </row>
    <row r="7" customFormat="false" ht="15" hidden="false" customHeight="true" outlineLevel="0" collapsed="false">
      <c r="B7" s="7" t="s">
        <v>13</v>
      </c>
      <c r="C7" s="36" t="n">
        <f aca="false">'0_Dashboard_Toggles'!C9</f>
        <v>0.8756</v>
      </c>
    </row>
    <row r="8" customFormat="false" ht="15" hidden="false" customHeight="true" outlineLevel="0" collapsed="false">
      <c r="B8" s="7" t="s">
        <v>90</v>
      </c>
      <c r="C8" s="37" t="n">
        <f aca="false">C6*C7</f>
        <v>558.098684</v>
      </c>
    </row>
    <row r="10" customFormat="false" ht="15" hidden="false" customHeight="true" outlineLevel="0" collapsed="false">
      <c r="B10" s="7" t="s">
        <v>91</v>
      </c>
      <c r="C10" s="38" t="n">
        <v>205.788241</v>
      </c>
    </row>
    <row r="11" customFormat="false" ht="15" hidden="false" customHeight="true" outlineLevel="0" collapsed="false">
      <c r="B11" s="3" t="s">
        <v>92</v>
      </c>
      <c r="C11" s="31" t="s">
        <v>93</v>
      </c>
      <c r="D11" s="31" t="s">
        <v>94</v>
      </c>
      <c r="E11" s="31" t="s">
        <v>95</v>
      </c>
      <c r="F11" s="31" t="s">
        <v>96</v>
      </c>
    </row>
    <row r="12" customFormat="false" ht="15" hidden="false" customHeight="true" outlineLevel="0" collapsed="false">
      <c r="B12" s="7" t="s">
        <v>97</v>
      </c>
      <c r="C12" s="38" t="n">
        <v>3</v>
      </c>
      <c r="D12" s="39" t="n">
        <v>150</v>
      </c>
      <c r="E12" s="40" t="n">
        <f aca="false">IF(D12&lt;$C$6,C12-C12*D12/$C$6,0)</f>
        <v>2.29399582673089</v>
      </c>
      <c r="F12" s="41" t="n">
        <f aca="false">IF(D12&lt;$C$6,C12*($C$6-D12)*$C$7,0)</f>
        <v>1280.276052</v>
      </c>
    </row>
    <row r="13" customFormat="false" ht="15" hidden="false" customHeight="true" outlineLevel="0" collapsed="false">
      <c r="B13" s="7" t="s">
        <v>98</v>
      </c>
      <c r="C13" s="38" t="n">
        <v>1</v>
      </c>
      <c r="D13" s="39" t="n">
        <v>350</v>
      </c>
      <c r="E13" s="40" t="n">
        <f aca="false">IF(D13&lt;$C$6,C13-C13*D13/$C$6,0)</f>
        <v>0.450885643012912</v>
      </c>
      <c r="F13" s="41" t="n">
        <f aca="false">IF(D13&lt;$C$6,C13*($C$6-D13)*$C$7,0)</f>
        <v>251.638684</v>
      </c>
    </row>
    <row r="14" customFormat="false" ht="15" hidden="false" customHeight="true" outlineLevel="0" collapsed="false">
      <c r="B14" s="7" t="s">
        <v>99</v>
      </c>
      <c r="C14" s="38" t="n">
        <v>0.6</v>
      </c>
      <c r="D14" s="39" t="n">
        <v>480</v>
      </c>
      <c r="E14" s="40" t="n">
        <f aca="false">IF(D14&lt;$C$6,C14-C14*D14/$C$6,0)</f>
        <v>0.148157329107768</v>
      </c>
      <c r="F14" s="41" t="n">
        <f aca="false">IF(D14&lt;$C$6,C14*($C$6-D14)*$C$7,0)</f>
        <v>82.6864104</v>
      </c>
    </row>
    <row r="15" customFormat="false" ht="15" hidden="false" customHeight="true" outlineLevel="0" collapsed="false">
      <c r="B15" s="7" t="s">
        <v>100</v>
      </c>
      <c r="C15" s="40" t="n">
        <f aca="false">SUM(C12:C14)</f>
        <v>4.6</v>
      </c>
      <c r="E15" s="42" t="n">
        <f aca="false">SUM(E12:E14)</f>
        <v>2.89303879885157</v>
      </c>
      <c r="F15" s="41" t="n">
        <f aca="false">SUM(F12:F14)</f>
        <v>1614.6011464</v>
      </c>
    </row>
    <row r="16" customFormat="false" ht="15" hidden="false" customHeight="true" outlineLevel="0" collapsed="false">
      <c r="B16" s="7" t="s">
        <v>101</v>
      </c>
      <c r="C16" s="38" t="n">
        <v>0.674073</v>
      </c>
    </row>
    <row r="17" customFormat="false" ht="15" hidden="false" customHeight="true" outlineLevel="0" collapsed="false">
      <c r="B17" s="3" t="s">
        <v>102</v>
      </c>
      <c r="C17" s="42" t="n">
        <f aca="false">C10+E15+C16</f>
        <v>209.355352798852</v>
      </c>
    </row>
    <row r="19" customFormat="false" ht="15" hidden="false" customHeight="true" outlineLevel="0" collapsed="false">
      <c r="B19" s="3" t="s">
        <v>103</v>
      </c>
      <c r="C19" s="43" t="n">
        <f aca="false">C17*C8</f>
        <v>116840.946885395</v>
      </c>
    </row>
    <row r="20" customFormat="false" ht="15" hidden="false" customHeight="true" outlineLevel="0" collapsed="false">
      <c r="B20" s="7" t="s">
        <v>104</v>
      </c>
      <c r="C20" s="44" t="n">
        <v>-5938</v>
      </c>
      <c r="G20" s="5" t="s">
        <v>105</v>
      </c>
    </row>
    <row r="21" customFormat="false" ht="15" hidden="false" customHeight="true" outlineLevel="0" collapsed="false">
      <c r="B21" s="7" t="s">
        <v>106</v>
      </c>
      <c r="C21" s="44" t="n">
        <v>-3450</v>
      </c>
      <c r="G21" s="5" t="s">
        <v>105</v>
      </c>
    </row>
    <row r="22" customFormat="false" ht="15" hidden="false" customHeight="true" outlineLevel="0" collapsed="false">
      <c r="B22" s="7" t="s">
        <v>107</v>
      </c>
      <c r="C22" s="44" t="n">
        <v>-1118</v>
      </c>
      <c r="G22" s="5" t="s">
        <v>108</v>
      </c>
    </row>
    <row r="23" customFormat="false" ht="15" hidden="false" customHeight="true" outlineLevel="0" collapsed="false">
      <c r="B23" s="7" t="s">
        <v>109</v>
      </c>
      <c r="C23" s="44" t="n">
        <v>470</v>
      </c>
      <c r="G23" s="5" t="s">
        <v>110</v>
      </c>
    </row>
    <row r="24" customFormat="false" ht="15" hidden="false" customHeight="true" outlineLevel="0" collapsed="false">
      <c r="B24" s="7" t="s">
        <v>111</v>
      </c>
      <c r="C24" s="44" t="n">
        <v>0</v>
      </c>
      <c r="G24" s="5" t="s">
        <v>112</v>
      </c>
    </row>
    <row r="25" customFormat="false" ht="15" hidden="false" customHeight="true" outlineLevel="0" collapsed="false">
      <c r="B25" s="3" t="s">
        <v>113</v>
      </c>
      <c r="C25" s="43" t="n">
        <f aca="false">SUM(C19:C24)</f>
        <v>106804.946885395</v>
      </c>
    </row>
    <row r="27" customFormat="false" ht="15" hidden="false" customHeight="true" outlineLevel="0" collapsed="false">
      <c r="B27" s="7" t="s">
        <v>114</v>
      </c>
      <c r="C27" s="27" t="n">
        <f aca="false">'2_Operating_Build'!E79</f>
        <v>3282.595</v>
      </c>
    </row>
    <row r="28" customFormat="false" ht="15" hidden="false" customHeight="true" outlineLevel="0" collapsed="false">
      <c r="B28" s="7" t="s">
        <v>115</v>
      </c>
      <c r="C28" s="22" t="n">
        <f aca="false">C25/C27</f>
        <v>32.5367420852693</v>
      </c>
    </row>
    <row r="29" customFormat="false" ht="15" hidden="false" customHeight="true" outlineLevel="0" collapsed="false">
      <c r="B29" s="7" t="s">
        <v>116</v>
      </c>
      <c r="C29" s="17" t="n">
        <f aca="false">C25/D29</f>
        <v>34.789884978956</v>
      </c>
      <c r="D29" s="44" t="n">
        <v>3070</v>
      </c>
    </row>
    <row r="30" customFormat="false" ht="15" hidden="false" customHeight="true" outlineLevel="0" collapsed="false">
      <c r="B30" s="7" t="s">
        <v>117</v>
      </c>
      <c r="C30" s="17" t="n">
        <f aca="false">C25/D30</f>
        <v>32.7522069565761</v>
      </c>
      <c r="D30" s="44" t="n">
        <v>3261</v>
      </c>
    </row>
    <row r="31" customFormat="false" ht="15" hidden="false" customHeight="true" outlineLevel="0" collapsed="false">
      <c r="B31" s="7" t="s">
        <v>118</v>
      </c>
      <c r="C31" s="17" t="n">
        <f aca="false">(C17*C5*C7+SUM(C20:C24))/C27</f>
        <v>24.3227237750328</v>
      </c>
    </row>
    <row r="32" customFormat="false" ht="15" hidden="false" customHeight="true" outlineLevel="0" collapsed="false">
      <c r="B32" s="7" t="s">
        <v>119</v>
      </c>
      <c r="C32" s="17" t="n">
        <f aca="false">C25/(C27-'2_Operating_Build'!E76*'0_Dashboard_Toggles'!H36)</f>
        <v>34.2073023075711</v>
      </c>
    </row>
    <row r="33" customFormat="false" ht="15" hidden="false" customHeight="true" outlineLevel="0" collapsed="false">
      <c r="B33" s="6" t="s">
        <v>120</v>
      </c>
      <c r="C33" s="18" t="s">
        <v>121</v>
      </c>
      <c r="D33" s="18" t="s">
        <v>122</v>
      </c>
      <c r="E33" s="18" t="s">
        <v>123</v>
      </c>
      <c r="F33" s="6"/>
      <c r="G33" s="6"/>
    </row>
    <row r="34" customFormat="false" ht="15" hidden="false" customHeight="true" outlineLevel="0" collapsed="false">
      <c r="B34" s="3" t="s">
        <v>124</v>
      </c>
    </row>
    <row r="35" customFormat="false" ht="15" hidden="false" customHeight="true" outlineLevel="0" collapsed="false">
      <c r="B35" s="7" t="s">
        <v>125</v>
      </c>
      <c r="C35" s="41" t="n">
        <f aca="false">C19</f>
        <v>116840.946885395</v>
      </c>
      <c r="D35" s="45" t="n">
        <f aca="false">C35/$C$39</f>
        <v>0.992693200774114</v>
      </c>
    </row>
    <row r="36" customFormat="false" ht="15" hidden="false" customHeight="true" outlineLevel="0" collapsed="false">
      <c r="B36" s="7" t="s">
        <v>126</v>
      </c>
      <c r="C36" s="27" t="n">
        <f aca="false">'0_Dashboard_Toggles'!C15*C25</f>
        <v>373.817314098882</v>
      </c>
      <c r="D36" s="45" t="n">
        <f aca="false">C36/$C$39</f>
        <v>0.00317599194400219</v>
      </c>
    </row>
    <row r="37" customFormat="false" ht="15" hidden="false" customHeight="true" outlineLevel="0" collapsed="false">
      <c r="B37" s="7" t="s">
        <v>127</v>
      </c>
      <c r="C37" s="27" t="n">
        <f aca="false">'0_Dashboard_Toggles'!C16*C47</f>
        <v>443.25</v>
      </c>
      <c r="D37" s="45" t="n">
        <f aca="false">C37/$C$39</f>
        <v>0.00376589948106735</v>
      </c>
    </row>
    <row r="38" customFormat="false" ht="15" hidden="false" customHeight="true" outlineLevel="0" collapsed="false">
      <c r="B38" s="7" t="s">
        <v>128</v>
      </c>
      <c r="C38" s="27" t="n">
        <f aca="false">'0_Dashboard_Toggles'!C17*C43</f>
        <v>42.95</v>
      </c>
      <c r="D38" s="45" t="n">
        <f aca="false">C38/$C$39</f>
        <v>0.00036490780081634</v>
      </c>
    </row>
    <row r="39" customFormat="false" ht="15" hidden="false" customHeight="true" outlineLevel="0" collapsed="false">
      <c r="B39" s="3" t="s">
        <v>129</v>
      </c>
      <c r="C39" s="43" t="n">
        <f aca="false">SUM(C35:C38)</f>
        <v>117700.964199494</v>
      </c>
    </row>
    <row r="41" customFormat="false" ht="15" hidden="false" customHeight="true" outlineLevel="0" collapsed="false">
      <c r="B41" s="3" t="s">
        <v>130</v>
      </c>
      <c r="F41" s="31" t="s">
        <v>131</v>
      </c>
    </row>
    <row r="42" customFormat="false" ht="15" hidden="false" customHeight="true" outlineLevel="0" collapsed="false">
      <c r="B42" s="7" t="s">
        <v>132</v>
      </c>
      <c r="C42" s="41" t="n">
        <f aca="false">ROUND(C47*F42,-1)</f>
        <v>4040</v>
      </c>
      <c r="D42" s="45" t="n">
        <f aca="false">C42/$C$51</f>
        <v>0.0343242727659607</v>
      </c>
      <c r="E42" s="17" t="n">
        <f aca="false">C42/$C$27</f>
        <v>1.23073361167004</v>
      </c>
      <c r="F42" s="46" t="n">
        <v>0.205</v>
      </c>
    </row>
    <row r="43" customFormat="false" ht="15" hidden="false" customHeight="true" outlineLevel="0" collapsed="false">
      <c r="B43" s="7" t="s">
        <v>133</v>
      </c>
      <c r="C43" s="41" t="n">
        <f aca="false">ROUND(C47*F43,-1)</f>
        <v>8590</v>
      </c>
      <c r="D43" s="45" t="n">
        <f aca="false">C43/$C$51</f>
        <v>0.072981560163268</v>
      </c>
      <c r="E43" s="17" t="n">
        <f aca="false">C43/$C$27</f>
        <v>2.61683210996178</v>
      </c>
      <c r="F43" s="46" t="n">
        <v>0.436</v>
      </c>
    </row>
    <row r="44" customFormat="false" ht="15" hidden="false" customHeight="true" outlineLevel="0" collapsed="false">
      <c r="B44" s="7" t="s">
        <v>134</v>
      </c>
      <c r="C44" s="41" t="n">
        <f aca="false">C47-C42-C43</f>
        <v>7070</v>
      </c>
      <c r="D44" s="45" t="n">
        <f aca="false">C44/$C$51</f>
        <v>0.0600674773404313</v>
      </c>
      <c r="E44" s="17" t="n">
        <f aca="false">C44/$C$27</f>
        <v>2.15378382042256</v>
      </c>
      <c r="F44" s="45" t="n">
        <f aca="false">1-F42-F43</f>
        <v>0.359</v>
      </c>
    </row>
    <row r="45" customFormat="false" ht="15" hidden="false" customHeight="true" outlineLevel="0" collapsed="false">
      <c r="B45" s="7" t="s">
        <v>135</v>
      </c>
      <c r="C45" s="44" t="n">
        <v>0</v>
      </c>
      <c r="D45" s="45" t="n">
        <f aca="false">C45/$C$51</f>
        <v>0</v>
      </c>
      <c r="E45" s="17" t="n">
        <f aca="false">C45/$C$27</f>
        <v>0</v>
      </c>
    </row>
    <row r="47" customFormat="false" ht="15" hidden="false" customHeight="true" outlineLevel="0" collapsed="false">
      <c r="B47" s="3" t="s">
        <v>136</v>
      </c>
      <c r="C47" s="47" t="n">
        <f aca="false">ROUND('0_Dashboard_Toggles'!C14*C27,-2)</f>
        <v>19700</v>
      </c>
      <c r="D47" s="45" t="n">
        <f aca="false">C47/$C$51</f>
        <v>0.16737331026966</v>
      </c>
      <c r="E47" s="17" t="n">
        <f aca="false">C47/$C$27</f>
        <v>6.00134954205438</v>
      </c>
    </row>
    <row r="48" customFormat="false" ht="15" hidden="false" customHeight="true" outlineLevel="0" collapsed="false">
      <c r="B48" s="7" t="s">
        <v>137</v>
      </c>
      <c r="C48" s="41" t="n">
        <f aca="false">-(C20+C21)-F48</f>
        <v>7000</v>
      </c>
      <c r="D48" s="45" t="n">
        <f aca="false">C48/$C$51</f>
        <v>0.0594727498420112</v>
      </c>
      <c r="F48" s="44" t="n">
        <v>2388</v>
      </c>
      <c r="G48" s="5" t="s">
        <v>138</v>
      </c>
    </row>
    <row r="49" customFormat="false" ht="15" hidden="false" customHeight="true" outlineLevel="0" collapsed="false">
      <c r="B49" s="7" t="s">
        <v>139</v>
      </c>
      <c r="C49" s="41" t="n">
        <f aca="false">F49*C19</f>
        <v>31547.0556590566</v>
      </c>
      <c r="D49" s="45" t="n">
        <f aca="false">C49/$C$51</f>
        <v>0.268027164209011</v>
      </c>
      <c r="F49" s="46" t="n">
        <v>0.27</v>
      </c>
    </row>
    <row r="50" customFormat="false" ht="15" hidden="false" customHeight="true" outlineLevel="0" collapsed="false">
      <c r="B50" s="3" t="s">
        <v>140</v>
      </c>
      <c r="C50" s="43" t="n">
        <f aca="false">C39-C47-C48-C49</f>
        <v>59453.9085404371</v>
      </c>
      <c r="D50" s="45" t="n">
        <f aca="false">C50/$C$51</f>
        <v>0.505126775679318</v>
      </c>
    </row>
    <row r="51" customFormat="false" ht="15" hidden="false" customHeight="true" outlineLevel="0" collapsed="false">
      <c r="B51" s="3" t="s">
        <v>141</v>
      </c>
      <c r="C51" s="43" t="n">
        <f aca="false">C47+C48+C49+C50</f>
        <v>117700.964199494</v>
      </c>
    </row>
    <row r="52" customFormat="false" ht="15" hidden="false" customHeight="true" outlineLevel="0" collapsed="false">
      <c r="B52" s="7" t="s">
        <v>142</v>
      </c>
      <c r="C52" s="24" t="n">
        <f aca="false">ROUND(C51-C39,3)</f>
        <v>0</v>
      </c>
    </row>
    <row r="54" customFormat="false" ht="15" hidden="false" customHeight="true" outlineLevel="0" collapsed="false">
      <c r="B54" s="7" t="s">
        <v>143</v>
      </c>
      <c r="C54" s="45" t="n">
        <f aca="false">(C49+C50)/C51</f>
        <v>0.773153939888329</v>
      </c>
    </row>
    <row r="55" customFormat="false" ht="15" hidden="false" customHeight="true" outlineLevel="0" collapsed="false">
      <c r="B55" s="7" t="s">
        <v>144</v>
      </c>
      <c r="C55" s="17" t="n">
        <f aca="false">(C47-F48)/C27</f>
        <v>5.27387630822566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13"/>
    <col collapsed="false" customWidth="true" hidden="false" outlineLevel="0" max="4" min="4" style="1" width="30"/>
    <col collapsed="false" customWidth="true" hidden="false" outlineLevel="0" max="12" min="5" style="1" width="12"/>
  </cols>
  <sheetData>
    <row r="1" customFormat="false" ht="17.25" hidden="false" customHeight="true" outlineLevel="0" collapsed="false">
      <c r="B1" s="2" t="s">
        <v>145</v>
      </c>
      <c r="J1" s="3" t="s">
        <v>1</v>
      </c>
      <c r="K1" s="4" t="str">
        <f aca="false">'0_Dashboard_Toggles'!$D$49</f>
        <v>OK</v>
      </c>
    </row>
    <row r="2" customFormat="false" ht="15" hidden="false" customHeight="true" outlineLevel="0" collapsed="false">
      <c r="B2" s="5" t="s">
        <v>146</v>
      </c>
      <c r="E2" s="48" t="s">
        <v>147</v>
      </c>
    </row>
    <row r="3" customFormat="false" ht="15" hidden="false" customHeight="true" outlineLevel="0" collapsed="false">
      <c r="B3" s="3" t="s">
        <v>148</v>
      </c>
      <c r="E3" s="49" t="n">
        <v>2026</v>
      </c>
      <c r="F3" s="49" t="n">
        <v>2027</v>
      </c>
      <c r="G3" s="49" t="n">
        <v>2028</v>
      </c>
      <c r="H3" s="49" t="n">
        <v>2029</v>
      </c>
      <c r="I3" s="49" t="n">
        <v>2030</v>
      </c>
      <c r="J3" s="49" t="n">
        <v>2031</v>
      </c>
      <c r="K3" s="49" t="n">
        <v>2032</v>
      </c>
      <c r="L3" s="49" t="n">
        <v>2033</v>
      </c>
    </row>
    <row r="4" customFormat="false" ht="15" hidden="false" customHeight="true" outlineLevel="0" collapsed="false">
      <c r="B4" s="50" t="s">
        <v>149</v>
      </c>
      <c r="E4" s="51" t="n">
        <v>0</v>
      </c>
      <c r="F4" s="51" t="n">
        <v>1</v>
      </c>
      <c r="G4" s="51" t="n">
        <v>2</v>
      </c>
      <c r="H4" s="51" t="n">
        <v>3</v>
      </c>
      <c r="I4" s="51" t="n">
        <v>4</v>
      </c>
      <c r="J4" s="51" t="n">
        <v>5</v>
      </c>
      <c r="K4" s="51" t="n">
        <v>6</v>
      </c>
      <c r="L4" s="51" t="n">
        <v>7</v>
      </c>
    </row>
    <row r="5" customFormat="false" ht="15" hidden="false" customHeight="true" outlineLevel="0" collapsed="false">
      <c r="B5" s="6" t="s">
        <v>150</v>
      </c>
      <c r="C5" s="6"/>
      <c r="D5" s="6"/>
      <c r="E5" s="6"/>
      <c r="F5" s="6"/>
      <c r="G5" s="6"/>
      <c r="H5" s="6"/>
      <c r="I5" s="6"/>
      <c r="J5" s="6"/>
      <c r="K5" s="6"/>
      <c r="L5" s="6"/>
    </row>
    <row r="6" customFormat="false" ht="15" hidden="false" customHeight="true" outlineLevel="0" collapsed="false">
      <c r="B6" s="7" t="s">
        <v>151</v>
      </c>
      <c r="C6" s="5" t="s">
        <v>152</v>
      </c>
      <c r="F6" s="29" t="n">
        <f aca="false">'0_Dashboard_Toggles'!$H$24+('0_Dashboard_Toggles'!$H$25-'0_Dashboard_Toggles'!$H$24)*(F$4-1)/6</f>
        <v>0.075</v>
      </c>
      <c r="G6" s="29" t="n">
        <f aca="false">'0_Dashboard_Toggles'!$H$24+('0_Dashboard_Toggles'!$H$25-'0_Dashboard_Toggles'!$H$24)*(G$4-1)/6</f>
        <v>0.0691666666666667</v>
      </c>
      <c r="H6" s="29" t="n">
        <f aca="false">'0_Dashboard_Toggles'!$H$24+('0_Dashboard_Toggles'!$H$25-'0_Dashboard_Toggles'!$H$24)*(H$4-1)/6</f>
        <v>0.0633333333333333</v>
      </c>
      <c r="I6" s="29" t="n">
        <f aca="false">'0_Dashboard_Toggles'!$H$24+('0_Dashboard_Toggles'!$H$25-'0_Dashboard_Toggles'!$H$24)*(I$4-1)/6</f>
        <v>0.0575</v>
      </c>
      <c r="J6" s="29" t="n">
        <f aca="false">'0_Dashboard_Toggles'!$H$24+('0_Dashboard_Toggles'!$H$25-'0_Dashboard_Toggles'!$H$24)*(J$4-1)/6</f>
        <v>0.0516666666666667</v>
      </c>
      <c r="K6" s="29" t="n">
        <f aca="false">'0_Dashboard_Toggles'!$H$24+('0_Dashboard_Toggles'!$H$25-'0_Dashboard_Toggles'!$H$24)*(K$4-1)/6</f>
        <v>0.0458333333333333</v>
      </c>
      <c r="L6" s="29" t="n">
        <f aca="false">'0_Dashboard_Toggles'!$H$24+('0_Dashboard_Toggles'!$H$25-'0_Dashboard_Toggles'!$H$24)*(L$4-1)/6</f>
        <v>0.04</v>
      </c>
    </row>
    <row r="7" customFormat="false" ht="15" hidden="false" customHeight="true" outlineLevel="0" collapsed="false">
      <c r="B7" s="7" t="s">
        <v>153</v>
      </c>
      <c r="C7" s="5" t="s">
        <v>152</v>
      </c>
      <c r="F7" s="29" t="n">
        <f aca="false">'0_Dashboard_Toggles'!$H$26</f>
        <v>0.04</v>
      </c>
      <c r="G7" s="29" t="n">
        <f aca="false">'0_Dashboard_Toggles'!$H$26</f>
        <v>0.04</v>
      </c>
      <c r="H7" s="29" t="n">
        <f aca="false">'0_Dashboard_Toggles'!$H$26</f>
        <v>0.04</v>
      </c>
      <c r="I7" s="29" t="n">
        <f aca="false">'0_Dashboard_Toggles'!$H$26</f>
        <v>0.04</v>
      </c>
      <c r="J7" s="29" t="n">
        <f aca="false">'0_Dashboard_Toggles'!$H$26</f>
        <v>0.04</v>
      </c>
      <c r="K7" s="29" t="n">
        <f aca="false">'0_Dashboard_Toggles'!$H$26</f>
        <v>0.04</v>
      </c>
      <c r="L7" s="29" t="n">
        <f aca="false">'0_Dashboard_Toggles'!$H$26</f>
        <v>0.04</v>
      </c>
    </row>
    <row r="8" customFormat="false" ht="15" hidden="false" customHeight="true" outlineLevel="0" collapsed="false">
      <c r="B8" s="7" t="s">
        <v>154</v>
      </c>
      <c r="C8" s="5" t="s">
        <v>152</v>
      </c>
      <c r="E8" s="52" t="n">
        <f aca="false">'0_Dashboard_Toggles'!$H$27</f>
        <v>0.02</v>
      </c>
      <c r="F8" s="52" t="n">
        <f aca="false">'0_Dashboard_Toggles'!$H$27+$E$9*MAX(0,F7-$E$10)</f>
        <v>0.0205</v>
      </c>
      <c r="G8" s="52" t="n">
        <f aca="false">'0_Dashboard_Toggles'!$H$27+$E$9*MAX(0,G7-$E$10)</f>
        <v>0.0205</v>
      </c>
      <c r="H8" s="52" t="n">
        <f aca="false">'0_Dashboard_Toggles'!$H$27+$E$9*MAX(0,H7-$E$10)</f>
        <v>0.0205</v>
      </c>
      <c r="I8" s="52" t="n">
        <f aca="false">'0_Dashboard_Toggles'!$H$27+$E$9*MAX(0,I7-$E$10)</f>
        <v>0.0205</v>
      </c>
      <c r="J8" s="52" t="n">
        <f aca="false">'0_Dashboard_Toggles'!$H$27+$E$9*MAX(0,J7-$E$10)</f>
        <v>0.0205</v>
      </c>
      <c r="K8" s="52" t="n">
        <f aca="false">'0_Dashboard_Toggles'!$H$27+$E$9*MAX(0,K7-$E$10)</f>
        <v>0.0205</v>
      </c>
      <c r="L8" s="52" t="n">
        <f aca="false">'0_Dashboard_Toggles'!$H$27+$E$9*MAX(0,L7-$E$10)</f>
        <v>0.0205</v>
      </c>
    </row>
    <row r="9" customFormat="false" ht="15" hidden="false" customHeight="true" outlineLevel="0" collapsed="false">
      <c r="B9" s="7" t="s">
        <v>155</v>
      </c>
      <c r="C9" s="5" t="s">
        <v>156</v>
      </c>
      <c r="D9" s="5" t="s">
        <v>157</v>
      </c>
      <c r="E9" s="53" t="n">
        <v>0.05</v>
      </c>
    </row>
    <row r="10" customFormat="false" ht="15" hidden="false" customHeight="true" outlineLevel="0" collapsed="false">
      <c r="B10" s="7" t="s">
        <v>158</v>
      </c>
      <c r="C10" s="5" t="s">
        <v>152</v>
      </c>
      <c r="D10" s="5" t="s">
        <v>157</v>
      </c>
      <c r="E10" s="46" t="n">
        <v>0.03</v>
      </c>
    </row>
    <row r="11" customFormat="false" ht="15" hidden="false" customHeight="true" outlineLevel="0" collapsed="false">
      <c r="B11" s="7" t="s">
        <v>159</v>
      </c>
      <c r="C11" s="5" t="s">
        <v>152</v>
      </c>
      <c r="F11" s="52" t="n">
        <f aca="false">(1-(1-F8)^12)-(1-(1-'0_Dashboard_Toggles'!$H$27)^12)</f>
        <v>0.00479092930494907</v>
      </c>
      <c r="G11" s="52" t="n">
        <f aca="false">(1-(1-G8)^12)-(1-(1-'0_Dashboard_Toggles'!$H$27)^12)</f>
        <v>0.00479092930494907</v>
      </c>
      <c r="H11" s="52" t="n">
        <f aca="false">(1-(1-H8)^12)-(1-(1-'0_Dashboard_Toggles'!$H$27)^12)</f>
        <v>0.00479092930494907</v>
      </c>
      <c r="I11" s="52" t="n">
        <f aca="false">(1-(1-I8)^12)-(1-(1-'0_Dashboard_Toggles'!$H$27)^12)</f>
        <v>0.00479092930494907</v>
      </c>
      <c r="J11" s="52" t="n">
        <f aca="false">(1-(1-J8)^12)-(1-(1-'0_Dashboard_Toggles'!$H$27)^12)</f>
        <v>0.00479092930494907</v>
      </c>
      <c r="K11" s="52" t="n">
        <f aca="false">(1-(1-K8)^12)-(1-(1-'0_Dashboard_Toggles'!$H$27)^12)</f>
        <v>0.00479092930494907</v>
      </c>
      <c r="L11" s="52" t="n">
        <f aca="false">(1-(1-L8)^12)-(1-(1-'0_Dashboard_Toggles'!$H$27)^12)</f>
        <v>0.00479092930494907</v>
      </c>
    </row>
    <row r="13" customFormat="false" ht="15" hidden="false" customHeight="true" outlineLevel="0" collapsed="false">
      <c r="B13" s="3" t="s">
        <v>160</v>
      </c>
      <c r="C13" s="5" t="s">
        <v>161</v>
      </c>
      <c r="D13" s="46" t="n">
        <v>-0.025</v>
      </c>
    </row>
    <row r="14" customFormat="false" ht="15" hidden="false" customHeight="true" outlineLevel="0" collapsed="false">
      <c r="B14" s="7" t="s">
        <v>162</v>
      </c>
      <c r="C14" s="5" t="s">
        <v>163</v>
      </c>
      <c r="E14" s="54" t="n">
        <v>74</v>
      </c>
      <c r="F14" s="55" t="n">
        <f aca="false">E14*(1+F$6+$D$13-F$11)</f>
        <v>77.3454712314338</v>
      </c>
      <c r="G14" s="55" t="n">
        <f aca="false">F14*(1+G$6+$D$13-G$11)</f>
        <v>80.391006192761</v>
      </c>
      <c r="H14" s="55" t="n">
        <f aca="false">G14*(1+H$6+$D$13-H$11)</f>
        <v>83.0875138027269</v>
      </c>
      <c r="I14" s="55" t="n">
        <f aca="false">H14*(1+I$6+$D$13-I$11)</f>
        <v>85.3897915965627</v>
      </c>
      <c r="J14" s="55" t="n">
        <f aca="false">I14*(1+J$6+$D$13-J$11)</f>
        <v>87.257756250901</v>
      </c>
      <c r="K14" s="55" t="n">
        <f aca="false">J14*(1+K$6+$D$13-K$11)</f>
        <v>88.6575804312882</v>
      </c>
      <c r="L14" s="55" t="n">
        <f aca="false">K14*(1+L$6+$D$13-L$11)</f>
        <v>89.5626919375634</v>
      </c>
    </row>
    <row r="15" customFormat="false" ht="15" hidden="false" customHeight="true" outlineLevel="0" collapsed="false">
      <c r="B15" s="7" t="s">
        <v>164</v>
      </c>
      <c r="C15" s="5" t="s">
        <v>163</v>
      </c>
      <c r="F15" s="55" t="n">
        <f aca="false">AVERAGE(E14,F14)</f>
        <v>75.6727356157169</v>
      </c>
      <c r="G15" s="55" t="n">
        <f aca="false">AVERAGE(F14,G14)</f>
        <v>78.8682387120974</v>
      </c>
      <c r="H15" s="55" t="n">
        <f aca="false">AVERAGE(G14,H14)</f>
        <v>81.739259997744</v>
      </c>
      <c r="I15" s="55" t="n">
        <f aca="false">AVERAGE(H14,I14)</f>
        <v>84.2386526996448</v>
      </c>
      <c r="J15" s="55" t="n">
        <f aca="false">AVERAGE(I14,J14)</f>
        <v>86.3237739237318</v>
      </c>
      <c r="K15" s="55" t="n">
        <f aca="false">AVERAGE(J14,K14)</f>
        <v>87.9576683410946</v>
      </c>
      <c r="L15" s="55" t="n">
        <f aca="false">AVERAGE(K14,L14)</f>
        <v>89.1101361844258</v>
      </c>
    </row>
    <row r="16" customFormat="false" ht="15" hidden="false" customHeight="true" outlineLevel="0" collapsed="false">
      <c r="B16" s="7" t="s">
        <v>165</v>
      </c>
      <c r="C16" s="5" t="s">
        <v>166</v>
      </c>
      <c r="E16" s="56" t="n">
        <v>8.95</v>
      </c>
      <c r="F16" s="57" t="n">
        <f aca="false">E16*(1+F$7)</f>
        <v>9.308</v>
      </c>
      <c r="G16" s="57" t="n">
        <f aca="false">F16*(1+G$7)</f>
        <v>9.68032</v>
      </c>
      <c r="H16" s="57" t="n">
        <f aca="false">G16*(1+H$7)</f>
        <v>10.0675328</v>
      </c>
      <c r="I16" s="57" t="n">
        <f aca="false">H16*(1+I$7)</f>
        <v>10.470234112</v>
      </c>
      <c r="J16" s="57" t="n">
        <f aca="false">I16*(1+J$7)</f>
        <v>10.88904347648</v>
      </c>
      <c r="K16" s="57" t="n">
        <f aca="false">J16*(1+K$7)</f>
        <v>11.3246052155392</v>
      </c>
      <c r="L16" s="57" t="n">
        <f aca="false">K16*(1+L$7)</f>
        <v>11.7775894241608</v>
      </c>
    </row>
    <row r="17" customFormat="false" ht="15" hidden="false" customHeight="true" outlineLevel="0" collapsed="false">
      <c r="B17" s="7" t="s">
        <v>167</v>
      </c>
      <c r="C17" s="5" t="s">
        <v>121</v>
      </c>
      <c r="F17" s="41" t="n">
        <f aca="false">F15*F16*12</f>
        <v>8452.34187733311</v>
      </c>
      <c r="G17" s="41" t="n">
        <f aca="false">G15*G16*12</f>
        <v>9161.63746283389</v>
      </c>
      <c r="H17" s="41" t="n">
        <f aca="false">H15*H16*12</f>
        <v>9874.95217290018</v>
      </c>
      <c r="I17" s="41" t="n">
        <f aca="false">I15*I16*12</f>
        <v>10583.9809805369</v>
      </c>
      <c r="J17" s="41" t="n">
        <f aca="false">J15*J16*12</f>
        <v>11279.7999277122</v>
      </c>
      <c r="K17" s="41" t="n">
        <f aca="false">K15*K16*12</f>
        <v>11953.0304357067</v>
      </c>
      <c r="L17" s="41" t="n">
        <f aca="false">L15*L16*12</f>
        <v>12594.0311701346</v>
      </c>
    </row>
    <row r="18" customFormat="false" ht="15" hidden="false" customHeight="true" outlineLevel="0" collapsed="false">
      <c r="B18" s="3" t="s">
        <v>168</v>
      </c>
      <c r="C18" s="5" t="s">
        <v>161</v>
      </c>
      <c r="D18" s="46" t="n">
        <v>-0.01</v>
      </c>
    </row>
    <row r="19" customFormat="false" ht="15" hidden="false" customHeight="true" outlineLevel="0" collapsed="false">
      <c r="B19" s="7" t="s">
        <v>162</v>
      </c>
      <c r="C19" s="5" t="s">
        <v>163</v>
      </c>
      <c r="E19" s="54" t="n">
        <v>111</v>
      </c>
      <c r="F19" s="55" t="n">
        <f aca="false">E19*(1+F$6+$D$18-F$11)</f>
        <v>117.683206847151</v>
      </c>
      <c r="G19" s="55" t="n">
        <f aca="false">F19*(1+G$6+$D$18-G$11)</f>
        <v>124.082317994556</v>
      </c>
      <c r="H19" s="55" t="n">
        <f aca="false">G19*(1+H$6+$D$18-H$11)</f>
        <v>130.105572007426</v>
      </c>
      <c r="I19" s="55" t="n">
        <f aca="false">H19*(1+I$6+$D$18-I$11)</f>
        <v>135.662260080111</v>
      </c>
      <c r="J19" s="55" t="n">
        <f aca="false">I19*(1+J$6+$D$18-J$11)</f>
        <v>140.664905952723</v>
      </c>
      <c r="K19" s="55" t="n">
        <f aca="false">J19*(1+K$6+$D$18-K$11)</f>
        <v>145.031482795922</v>
      </c>
      <c r="L19" s="55" t="n">
        <f aca="false">K19*(1+L$6+$D$18-L$11)</f>
        <v>148.687591698732</v>
      </c>
    </row>
    <row r="20" customFormat="false" ht="15" hidden="false" customHeight="true" outlineLevel="0" collapsed="false">
      <c r="B20" s="7" t="s">
        <v>164</v>
      </c>
      <c r="C20" s="5" t="s">
        <v>163</v>
      </c>
      <c r="F20" s="55" t="n">
        <f aca="false">AVERAGE(E19,F19)</f>
        <v>114.341603423575</v>
      </c>
      <c r="G20" s="55" t="n">
        <f aca="false">AVERAGE(F19,G19)</f>
        <v>120.882762420853</v>
      </c>
      <c r="H20" s="55" t="n">
        <f aca="false">AVERAGE(G19,H19)</f>
        <v>127.093945000991</v>
      </c>
      <c r="I20" s="55" t="n">
        <f aca="false">AVERAGE(H19,I19)</f>
        <v>132.883916043769</v>
      </c>
      <c r="J20" s="55" t="n">
        <f aca="false">AVERAGE(I19,J19)</f>
        <v>138.163583016417</v>
      </c>
      <c r="K20" s="55" t="n">
        <f aca="false">AVERAGE(J19,K19)</f>
        <v>142.848194374322</v>
      </c>
      <c r="L20" s="55" t="n">
        <f aca="false">AVERAGE(K19,L19)</f>
        <v>146.859537247327</v>
      </c>
    </row>
    <row r="21" customFormat="false" ht="15" hidden="false" customHeight="true" outlineLevel="0" collapsed="false">
      <c r="B21" s="7" t="s">
        <v>165</v>
      </c>
      <c r="C21" s="5" t="s">
        <v>166</v>
      </c>
      <c r="E21" s="56" t="n">
        <v>5.25</v>
      </c>
      <c r="F21" s="57" t="n">
        <f aca="false">E21*(1+F$7)</f>
        <v>5.46</v>
      </c>
      <c r="G21" s="57" t="n">
        <f aca="false">F21*(1+G$7)</f>
        <v>5.6784</v>
      </c>
      <c r="H21" s="57" t="n">
        <f aca="false">G21*(1+H$7)</f>
        <v>5.905536</v>
      </c>
      <c r="I21" s="57" t="n">
        <f aca="false">H21*(1+I$7)</f>
        <v>6.14175744</v>
      </c>
      <c r="J21" s="57" t="n">
        <f aca="false">I21*(1+J$7)</f>
        <v>6.3874277376</v>
      </c>
      <c r="K21" s="57" t="n">
        <f aca="false">J21*(1+K$7)</f>
        <v>6.642924847104</v>
      </c>
      <c r="L21" s="57" t="n">
        <f aca="false">K21*(1+L$7)</f>
        <v>6.90864184098816</v>
      </c>
    </row>
    <row r="22" customFormat="false" ht="15" hidden="false" customHeight="true" outlineLevel="0" collapsed="false">
      <c r="B22" s="7" t="s">
        <v>167</v>
      </c>
      <c r="C22" s="5" t="s">
        <v>121</v>
      </c>
      <c r="F22" s="41" t="n">
        <f aca="false">F20*F21*12</f>
        <v>7491.66185631265</v>
      </c>
      <c r="G22" s="41" t="n">
        <f aca="false">G20*G21*12</f>
        <v>8237.04813756688</v>
      </c>
      <c r="H22" s="41" t="n">
        <f aca="false">H20*H21*12</f>
        <v>9006.69441102447</v>
      </c>
      <c r="I22" s="41" t="n">
        <f aca="false">I20*I21*12</f>
        <v>9793.68936021782</v>
      </c>
      <c r="J22" s="41" t="n">
        <f aca="false">J20*J21*12</f>
        <v>10590.1188298231</v>
      </c>
      <c r="K22" s="41" t="n">
        <f aca="false">K20*K21*12</f>
        <v>11387.1578372775</v>
      </c>
      <c r="L22" s="41" t="n">
        <f aca="false">L20*L21*12</f>
        <v>12175.1993253005</v>
      </c>
    </row>
    <row r="23" customFormat="false" ht="15" hidden="false" customHeight="true" outlineLevel="0" collapsed="false">
      <c r="B23" s="3" t="s">
        <v>169</v>
      </c>
      <c r="C23" s="5" t="s">
        <v>161</v>
      </c>
      <c r="D23" s="46" t="n">
        <v>0.01</v>
      </c>
    </row>
    <row r="24" customFormat="false" ht="15" hidden="false" customHeight="true" outlineLevel="0" collapsed="false">
      <c r="B24" s="7" t="s">
        <v>162</v>
      </c>
      <c r="C24" s="5" t="s">
        <v>163</v>
      </c>
      <c r="E24" s="54" t="n">
        <v>68</v>
      </c>
      <c r="F24" s="55" t="n">
        <f aca="false">E24*(1+F$6+$D$23-F$11)</f>
        <v>73.4542168072635</v>
      </c>
      <c r="G24" s="55" t="n">
        <f aca="false">F24*(1+G$6+$D$23-G$11)</f>
        <v>78.9174283446312</v>
      </c>
      <c r="H24" s="55" t="n">
        <f aca="false">G24*(1+H$6+$D$23-H$11)</f>
        <v>84.3266186031099</v>
      </c>
      <c r="I24" s="55" t="n">
        <f aca="false">H24*(1+I$6+$D$23-I$11)</f>
        <v>89.6146624905669</v>
      </c>
      <c r="J24" s="55" t="n">
        <f aca="false">I24*(1+J$6+$D$23-J$11)</f>
        <v>94.7115624981394</v>
      </c>
      <c r="K24" s="55" t="n">
        <f aca="false">J24*(1+K$6+$D$23-K$11)</f>
        <v>99.545868337329</v>
      </c>
      <c r="L24" s="55" t="n">
        <f aca="false">K24*(1+L$6+$D$23-L$11)</f>
        <v>104.046244536392</v>
      </c>
    </row>
    <row r="25" customFormat="false" ht="15" hidden="false" customHeight="true" outlineLevel="0" collapsed="false">
      <c r="B25" s="7" t="s">
        <v>164</v>
      </c>
      <c r="C25" s="5" t="s">
        <v>163</v>
      </c>
      <c r="F25" s="55" t="n">
        <f aca="false">AVERAGE(E24,F24)</f>
        <v>70.7271084036317</v>
      </c>
      <c r="G25" s="55" t="n">
        <f aca="false">AVERAGE(F24,G24)</f>
        <v>76.1858225759473</v>
      </c>
      <c r="H25" s="55" t="n">
        <f aca="false">AVERAGE(G24,H24)</f>
        <v>81.6220234738705</v>
      </c>
      <c r="I25" s="55" t="n">
        <f aca="false">AVERAGE(H24,I24)</f>
        <v>86.9706405468384</v>
      </c>
      <c r="J25" s="55" t="n">
        <f aca="false">AVERAGE(I24,J24)</f>
        <v>92.1631124943532</v>
      </c>
      <c r="K25" s="55" t="n">
        <f aca="false">AVERAGE(J24,K24)</f>
        <v>97.1287154177342</v>
      </c>
      <c r="L25" s="55" t="n">
        <f aca="false">AVERAGE(K24,L24)</f>
        <v>101.79605643686</v>
      </c>
    </row>
    <row r="26" customFormat="false" ht="15" hidden="false" customHeight="true" outlineLevel="0" collapsed="false">
      <c r="B26" s="7" t="s">
        <v>165</v>
      </c>
      <c r="C26" s="5" t="s">
        <v>166</v>
      </c>
      <c r="E26" s="56" t="n">
        <v>2.3</v>
      </c>
      <c r="F26" s="57" t="n">
        <f aca="false">E26*(1+F$7)</f>
        <v>2.392</v>
      </c>
      <c r="G26" s="57" t="n">
        <f aca="false">F26*(1+G$7)</f>
        <v>2.48768</v>
      </c>
      <c r="H26" s="57" t="n">
        <f aca="false">G26*(1+H$7)</f>
        <v>2.5871872</v>
      </c>
      <c r="I26" s="57" t="n">
        <f aca="false">H26*(1+I$7)</f>
        <v>2.690674688</v>
      </c>
      <c r="J26" s="57" t="n">
        <f aca="false">I26*(1+J$7)</f>
        <v>2.79830167552</v>
      </c>
      <c r="K26" s="57" t="n">
        <f aca="false">J26*(1+K$7)</f>
        <v>2.9102337425408</v>
      </c>
      <c r="L26" s="57" t="n">
        <f aca="false">K26*(1+L$7)</f>
        <v>3.02664309224243</v>
      </c>
    </row>
    <row r="27" customFormat="false" ht="15" hidden="false" customHeight="true" outlineLevel="0" collapsed="false">
      <c r="B27" s="7" t="s">
        <v>167</v>
      </c>
      <c r="C27" s="5" t="s">
        <v>121</v>
      </c>
      <c r="F27" s="41" t="n">
        <f aca="false">F25*F26*12</f>
        <v>2030.15091961785</v>
      </c>
      <c r="G27" s="41" t="n">
        <f aca="false">G25*G26*12</f>
        <v>2274.31136526879</v>
      </c>
      <c r="H27" s="41" t="n">
        <f aca="false">H25*H26*12</f>
        <v>2534.05745243637</v>
      </c>
      <c r="I27" s="41" t="n">
        <f aca="false">I25*I26*12</f>
        <v>2808.1164134223</v>
      </c>
      <c r="J27" s="41" t="n">
        <f aca="false">J25*J26*12</f>
        <v>3094.80230536904</v>
      </c>
      <c r="K27" s="41" t="n">
        <f aca="false">K25*K26*12</f>
        <v>3392.00717974</v>
      </c>
      <c r="L27" s="41" t="n">
        <f aca="false">L25*L26*12</f>
        <v>3697.20397238573</v>
      </c>
    </row>
    <row r="28" customFormat="false" ht="15" hidden="false" customHeight="true" outlineLevel="0" collapsed="false">
      <c r="B28" s="3" t="s">
        <v>170</v>
      </c>
      <c r="C28" s="5" t="s">
        <v>161</v>
      </c>
      <c r="D28" s="46" t="n">
        <v>0.04</v>
      </c>
    </row>
    <row r="29" customFormat="false" ht="15" hidden="false" customHeight="true" outlineLevel="0" collapsed="false">
      <c r="B29" s="7" t="s">
        <v>162</v>
      </c>
      <c r="C29" s="5" t="s">
        <v>163</v>
      </c>
      <c r="E29" s="54" t="n">
        <v>56</v>
      </c>
      <c r="F29" s="55" t="n">
        <f aca="false">E29*(1+F$6+$D$28-F$11)</f>
        <v>62.1717079589229</v>
      </c>
      <c r="G29" s="55" t="n">
        <f aca="false">F29*(1+G$6+$D$28-G$11)</f>
        <v>68.6609258201728</v>
      </c>
      <c r="H29" s="55" t="n">
        <f aca="false">G29*(1+H$6+$D$28-H$11)</f>
        <v>75.4269385133072</v>
      </c>
      <c r="I29" s="55" t="n">
        <f aca="false">H29*(1+I$6+$D$28-I$11)</f>
        <v>82.4196998882486</v>
      </c>
      <c r="J29" s="55" t="n">
        <f aca="false">I29*(1+J$6+$D$28-J$11)</f>
        <v>89.5799720891717</v>
      </c>
      <c r="K29" s="55" t="n">
        <f aca="false">J29*(1+K$6+$D$28-K$11)</f>
        <v>96.8397483800738</v>
      </c>
      <c r="L29" s="55" t="n">
        <f aca="false">K29*(1+L$6+$D$28-L$11)</f>
        <v>104.122975862082</v>
      </c>
    </row>
    <row r="30" customFormat="false" ht="15" hidden="false" customHeight="true" outlineLevel="0" collapsed="false">
      <c r="B30" s="7" t="s">
        <v>164</v>
      </c>
      <c r="C30" s="5" t="s">
        <v>163</v>
      </c>
      <c r="F30" s="55" t="n">
        <f aca="false">AVERAGE(E29,F29)</f>
        <v>59.0858539794614</v>
      </c>
      <c r="G30" s="55" t="n">
        <f aca="false">AVERAGE(F29,G29)</f>
        <v>65.4163168895478</v>
      </c>
      <c r="H30" s="55" t="n">
        <f aca="false">AVERAGE(G29,H29)</f>
        <v>72.04393216674</v>
      </c>
      <c r="I30" s="55" t="n">
        <f aca="false">AVERAGE(H29,I29)</f>
        <v>78.9233192007779</v>
      </c>
      <c r="J30" s="55" t="n">
        <f aca="false">AVERAGE(I29,J29)</f>
        <v>85.9998359887102</v>
      </c>
      <c r="K30" s="55" t="n">
        <f aca="false">AVERAGE(J29,K29)</f>
        <v>93.2098602346228</v>
      </c>
      <c r="L30" s="55" t="n">
        <f aca="false">AVERAGE(K29,L29)</f>
        <v>100.481362121078</v>
      </c>
    </row>
    <row r="31" customFormat="false" ht="15" hidden="false" customHeight="true" outlineLevel="0" collapsed="false">
      <c r="B31" s="7" t="s">
        <v>165</v>
      </c>
      <c r="C31" s="5" t="s">
        <v>166</v>
      </c>
      <c r="E31" s="56" t="n">
        <v>1.95</v>
      </c>
      <c r="F31" s="57" t="n">
        <f aca="false">E31*(1+F$7)</f>
        <v>2.028</v>
      </c>
      <c r="G31" s="57" t="n">
        <f aca="false">F31*(1+G$7)</f>
        <v>2.10912</v>
      </c>
      <c r="H31" s="57" t="n">
        <f aca="false">G31*(1+H$7)</f>
        <v>2.1934848</v>
      </c>
      <c r="I31" s="57" t="n">
        <f aca="false">H31*(1+I$7)</f>
        <v>2.281224192</v>
      </c>
      <c r="J31" s="57" t="n">
        <f aca="false">I31*(1+J$7)</f>
        <v>2.37247315968</v>
      </c>
      <c r="K31" s="57" t="n">
        <f aca="false">J31*(1+K$7)</f>
        <v>2.4673720860672</v>
      </c>
      <c r="L31" s="57" t="n">
        <f aca="false">K31*(1+L$7)</f>
        <v>2.56606696950989</v>
      </c>
    </row>
    <row r="32" customFormat="false" ht="15" hidden="false" customHeight="true" outlineLevel="0" collapsed="false">
      <c r="B32" s="7" t="s">
        <v>167</v>
      </c>
      <c r="C32" s="5" t="s">
        <v>121</v>
      </c>
      <c r="F32" s="41" t="n">
        <f aca="false">F30*F31*12</f>
        <v>1437.91334244417</v>
      </c>
      <c r="G32" s="41" t="n">
        <f aca="false">G30*G31*12</f>
        <v>1655.650347337</v>
      </c>
      <c r="H32" s="41" t="n">
        <f aca="false">H30*H31*12</f>
        <v>1896.3272416797</v>
      </c>
      <c r="I32" s="41" t="n">
        <f aca="false">I30*I31*12</f>
        <v>2160.50142088503</v>
      </c>
      <c r="J32" s="41" t="n">
        <f aca="false">J30*J31*12</f>
        <v>2448.38763144116</v>
      </c>
      <c r="K32" s="41" t="n">
        <f aca="false">K30*K31*12</f>
        <v>2759.8008874696</v>
      </c>
      <c r="L32" s="41" t="n">
        <f aca="false">L30*L31*12</f>
        <v>3094.10285268312</v>
      </c>
    </row>
    <row r="34" customFormat="false" ht="15" hidden="false" customHeight="true" outlineLevel="0" collapsed="false">
      <c r="B34" s="3" t="s">
        <v>171</v>
      </c>
      <c r="C34" s="5" t="s">
        <v>163</v>
      </c>
      <c r="E34" s="58" t="n">
        <f aca="false">E14+E19+E24+E29</f>
        <v>309</v>
      </c>
      <c r="F34" s="58" t="n">
        <f aca="false">F14+F19+F24+F29</f>
        <v>330.654602844771</v>
      </c>
      <c r="G34" s="58" t="n">
        <f aca="false">G14+G19+G24+G29</f>
        <v>352.051678352121</v>
      </c>
      <c r="H34" s="58" t="n">
        <f aca="false">H14+H19+H24+H29</f>
        <v>372.94664292657</v>
      </c>
      <c r="I34" s="58" t="n">
        <f aca="false">I14+I19+I24+I29</f>
        <v>393.08641405549</v>
      </c>
      <c r="J34" s="58" t="n">
        <f aca="false">J14+J19+J24+J29</f>
        <v>412.214196790935</v>
      </c>
      <c r="K34" s="58" t="n">
        <f aca="false">K14+K19+K24+K29</f>
        <v>430.074679944613</v>
      </c>
      <c r="L34" s="58" t="n">
        <f aca="false">L14+L19+L24+L29</f>
        <v>446.419504034769</v>
      </c>
    </row>
    <row r="35" customFormat="false" ht="15" hidden="false" customHeight="true" outlineLevel="0" collapsed="false">
      <c r="B35" s="7" t="s">
        <v>172</v>
      </c>
      <c r="C35" s="5" t="s">
        <v>163</v>
      </c>
      <c r="F35" s="55" t="n">
        <f aca="false">AVERAGE(E34,F34)</f>
        <v>319.827301422385</v>
      </c>
      <c r="G35" s="55" t="n">
        <f aca="false">AVERAGE(F34,G34)</f>
        <v>341.353140598446</v>
      </c>
      <c r="H35" s="55" t="n">
        <f aca="false">AVERAGE(G34,H34)</f>
        <v>362.499160639346</v>
      </c>
      <c r="I35" s="55" t="n">
        <f aca="false">AVERAGE(H34,I34)</f>
        <v>383.01652849103</v>
      </c>
      <c r="J35" s="55" t="n">
        <f aca="false">AVERAGE(I34,J34)</f>
        <v>402.650305423212</v>
      </c>
      <c r="K35" s="55" t="n">
        <f aca="false">AVERAGE(J34,K34)</f>
        <v>421.144438367774</v>
      </c>
      <c r="L35" s="55" t="n">
        <f aca="false">AVERAGE(K34,L34)</f>
        <v>438.247091989691</v>
      </c>
    </row>
    <row r="36" customFormat="false" ht="15" hidden="false" customHeight="true" outlineLevel="0" collapsed="false">
      <c r="B36" s="7" t="s">
        <v>173</v>
      </c>
      <c r="C36" s="5" t="s">
        <v>163</v>
      </c>
      <c r="F36" s="55" t="n">
        <f aca="false">E34*(1-(1-F8)^12)</f>
        <v>68.0029295211761</v>
      </c>
      <c r="G36" s="55" t="n">
        <f aca="false">F34*(1-(1-G8)^12)</f>
        <v>72.7685490391761</v>
      </c>
      <c r="H36" s="55" t="n">
        <f aca="false">G34*(1-(1-H8)^12)</f>
        <v>77.4774934329807</v>
      </c>
      <c r="I36" s="55" t="n">
        <f aca="false">H34*(1-(1-I8)^12)</f>
        <v>82.0759361621191</v>
      </c>
      <c r="J36" s="55" t="n">
        <f aca="false">I34*(1-(1-J8)^12)</f>
        <v>86.5081802936806</v>
      </c>
      <c r="K36" s="55" t="n">
        <f aca="false">J34*(1-(1-K8)^12)</f>
        <v>90.7177118835021</v>
      </c>
      <c r="L36" s="55" t="n">
        <f aca="false">K34*(1-(1-L8)^12)</f>
        <v>94.6483435246468</v>
      </c>
    </row>
    <row r="37" customFormat="false" ht="15" hidden="false" customHeight="true" outlineLevel="0" collapsed="false">
      <c r="B37" s="7" t="s">
        <v>174</v>
      </c>
      <c r="C37" s="5" t="s">
        <v>163</v>
      </c>
      <c r="F37" s="55" t="n">
        <f aca="false">F34-E34+F36</f>
        <v>89.6575323659469</v>
      </c>
      <c r="G37" s="55" t="n">
        <f aca="false">G34-F34+G36</f>
        <v>94.1656245465263</v>
      </c>
      <c r="H37" s="55" t="n">
        <f aca="false">H34-G34+H36</f>
        <v>98.37245800743</v>
      </c>
      <c r="I37" s="55" t="n">
        <f aca="false">I34-H34+I36</f>
        <v>102.215707291039</v>
      </c>
      <c r="J37" s="55" t="n">
        <f aca="false">J34-I34+J36</f>
        <v>105.635963029126</v>
      </c>
      <c r="K37" s="55" t="n">
        <f aca="false">K34-J34+K36</f>
        <v>108.57819503718</v>
      </c>
      <c r="L37" s="55" t="n">
        <f aca="false">L34-K34+L36</f>
        <v>110.993167614803</v>
      </c>
    </row>
    <row r="38" customFormat="false" ht="15" hidden="false" customHeight="true" outlineLevel="0" collapsed="false">
      <c r="B38" s="7" t="s">
        <v>175</v>
      </c>
      <c r="C38" s="5" t="s">
        <v>166</v>
      </c>
      <c r="F38" s="57" t="n">
        <f aca="false">F39/F35/12</f>
        <v>5.05795573355147</v>
      </c>
      <c r="G38" s="57" t="n">
        <f aca="false">G39/G35/12</f>
        <v>5.20688713444335</v>
      </c>
      <c r="H38" s="57" t="n">
        <f aca="false">H39/H35/12</f>
        <v>5.35910005900081</v>
      </c>
      <c r="I38" s="57" t="n">
        <f aca="false">I39/I35/12</f>
        <v>5.51462019035202</v>
      </c>
      <c r="J38" s="57" t="n">
        <f aca="false">J39/J35/12</f>
        <v>5.67347321921862</v>
      </c>
      <c r="K38" s="57" t="n">
        <f aca="false">K39/K35/12</f>
        <v>5.83568518964178</v>
      </c>
      <c r="L38" s="57" t="n">
        <f aca="false">L39/L35/12</f>
        <v>6.00128289446935</v>
      </c>
    </row>
    <row r="39" customFormat="false" ht="15" hidden="false" customHeight="true" outlineLevel="0" collapsed="false">
      <c r="B39" s="3" t="s">
        <v>176</v>
      </c>
      <c r="C39" s="5" t="s">
        <v>121</v>
      </c>
      <c r="E39" s="59" t="n">
        <v>17700</v>
      </c>
      <c r="F39" s="43" t="n">
        <f aca="false">F17+F22+F27+F32</f>
        <v>19412.0679957078</v>
      </c>
      <c r="G39" s="43" t="n">
        <f aca="false">G17+G22+G27+G32</f>
        <v>21328.6473130066</v>
      </c>
      <c r="H39" s="43" t="n">
        <f aca="false">H17+H22+H27+H32</f>
        <v>23312.0312780407</v>
      </c>
      <c r="I39" s="43" t="n">
        <f aca="false">I17+I22+I27+I32</f>
        <v>25346.2881750621</v>
      </c>
      <c r="J39" s="43" t="n">
        <f aca="false">J17+J22+J27+J32</f>
        <v>27413.1086943455</v>
      </c>
      <c r="K39" s="43" t="n">
        <f aca="false">K17+K22+K27+K32</f>
        <v>29491.9963401938</v>
      </c>
      <c r="L39" s="43" t="n">
        <f aca="false">L17+L22+L27+L32</f>
        <v>31560.537320504</v>
      </c>
    </row>
    <row r="40" customFormat="false" ht="15" hidden="false" customHeight="true" outlineLevel="0" collapsed="false">
      <c r="B40" s="7" t="s">
        <v>177</v>
      </c>
      <c r="C40" s="5" t="s">
        <v>152</v>
      </c>
      <c r="F40" s="45" t="n">
        <f aca="false">F39/E39-1</f>
        <v>0.0967270054072196</v>
      </c>
      <c r="G40" s="45" t="n">
        <f aca="false">G39/F39-1</f>
        <v>0.098731331341027</v>
      </c>
      <c r="H40" s="45" t="n">
        <f aca="false">H39/G39-1</f>
        <v>0.0929915496246532</v>
      </c>
      <c r="I40" s="45" t="n">
        <f aca="false">I39/H39-1</f>
        <v>0.0872621039650692</v>
      </c>
      <c r="J40" s="45" t="n">
        <f aca="false">J39/I39-1</f>
        <v>0.0815433212551007</v>
      </c>
      <c r="K40" s="45" t="n">
        <f aca="false">K39/J39-1</f>
        <v>0.0758355306954712</v>
      </c>
      <c r="L40" s="45" t="n">
        <f aca="false">L39/K39-1</f>
        <v>0.0701390626951548</v>
      </c>
    </row>
    <row r="41" customFormat="false" ht="15" hidden="false" customHeight="true" outlineLevel="0" collapsed="false">
      <c r="B41" s="6" t="s">
        <v>178</v>
      </c>
      <c r="C41" s="6"/>
      <c r="D41" s="6"/>
      <c r="E41" s="6"/>
      <c r="F41" s="6"/>
      <c r="G41" s="6"/>
      <c r="H41" s="6"/>
      <c r="I41" s="6"/>
      <c r="J41" s="6"/>
      <c r="K41" s="6"/>
      <c r="L41" s="6"/>
    </row>
    <row r="42" customFormat="false" ht="15" hidden="false" customHeight="true" outlineLevel="0" collapsed="false">
      <c r="B42" s="7" t="s">
        <v>179</v>
      </c>
      <c r="C42" s="5" t="s">
        <v>152</v>
      </c>
      <c r="D42" s="5" t="s">
        <v>157</v>
      </c>
      <c r="E42" s="46" t="n">
        <v>0.06</v>
      </c>
    </row>
    <row r="43" customFormat="false" ht="15" hidden="false" customHeight="true" outlineLevel="0" collapsed="false">
      <c r="B43" s="7" t="s">
        <v>180</v>
      </c>
      <c r="C43" s="5" t="s">
        <v>163</v>
      </c>
      <c r="E43" s="44" t="n">
        <v>505</v>
      </c>
      <c r="F43" s="41" t="n">
        <f aca="false">E43*(1+$E$42)</f>
        <v>535.3</v>
      </c>
      <c r="G43" s="41" t="n">
        <f aca="false">F43*(1+$E$42)</f>
        <v>567.418</v>
      </c>
      <c r="H43" s="41" t="n">
        <f aca="false">G43*(1+$E$42)</f>
        <v>601.46308</v>
      </c>
      <c r="I43" s="41" t="n">
        <f aca="false">H43*(1+$E$42)</f>
        <v>637.5508648</v>
      </c>
      <c r="J43" s="41" t="n">
        <f aca="false">I43*(1+$E$42)</f>
        <v>675.803916688</v>
      </c>
      <c r="K43" s="41" t="n">
        <f aca="false">J43*(1+$E$42)</f>
        <v>716.35215168928</v>
      </c>
      <c r="L43" s="41" t="n">
        <f aca="false">K43*(1+$E$42)</f>
        <v>759.333280790637</v>
      </c>
    </row>
    <row r="44" customFormat="false" ht="15" hidden="false" customHeight="true" outlineLevel="0" collapsed="false">
      <c r="B44" s="3" t="s">
        <v>181</v>
      </c>
      <c r="C44" s="5" t="s">
        <v>121</v>
      </c>
      <c r="E44" s="59" t="n">
        <v>1850</v>
      </c>
      <c r="F44" s="47" t="n">
        <f aca="false">E44*(1+'0_Dashboard_Toggles'!$H$28)</f>
        <v>1998</v>
      </c>
      <c r="G44" s="47" t="n">
        <f aca="false">F44*(1+'0_Dashboard_Toggles'!$H$28)</f>
        <v>2157.84</v>
      </c>
      <c r="H44" s="47" t="n">
        <f aca="false">G44*(1+'0_Dashboard_Toggles'!$H$28)</f>
        <v>2330.4672</v>
      </c>
      <c r="I44" s="47" t="n">
        <f aca="false">H44*(1+'0_Dashboard_Toggles'!$H$28)</f>
        <v>2516.904576</v>
      </c>
      <c r="J44" s="47" t="n">
        <f aca="false">I44*(1+'0_Dashboard_Toggles'!$H$28)</f>
        <v>2718.25694208</v>
      </c>
      <c r="K44" s="47" t="n">
        <f aca="false">J44*(1+'0_Dashboard_Toggles'!$H$28)</f>
        <v>2935.7174974464</v>
      </c>
      <c r="L44" s="47" t="n">
        <f aca="false">K44*(1+'0_Dashboard_Toggles'!$H$28)</f>
        <v>3170.57489724211</v>
      </c>
    </row>
    <row r="45" customFormat="false" ht="15" hidden="false" customHeight="true" outlineLevel="0" collapsed="false">
      <c r="B45" s="7" t="s">
        <v>182</v>
      </c>
      <c r="C45" s="5" t="s">
        <v>183</v>
      </c>
      <c r="F45" s="57" t="n">
        <f aca="false">F44/AVERAGE(E43,F43)</f>
        <v>3.84119965394598</v>
      </c>
      <c r="G45" s="57" t="n">
        <f aca="false">G44/AVERAGE(F43,G43)</f>
        <v>3.91367511911477</v>
      </c>
      <c r="H45" s="57" t="n">
        <f aca="false">H44/AVERAGE(G43,H43)</f>
        <v>3.98751804589052</v>
      </c>
      <c r="I45" s="57" t="n">
        <f aca="false">I44/AVERAGE(H43,I43)</f>
        <v>4.06275423543563</v>
      </c>
      <c r="J45" s="57" t="n">
        <f aca="false">J44/AVERAGE(I43,J43)</f>
        <v>4.13940997572686</v>
      </c>
      <c r="K45" s="57" t="n">
        <f aca="false">K44/AVERAGE(J43,K43)</f>
        <v>4.21751205074058</v>
      </c>
      <c r="L45" s="57" t="n">
        <f aca="false">L44/AVERAGE(K43,L43)</f>
        <v>4.29708774981116</v>
      </c>
    </row>
    <row r="47" customFormat="false" ht="15" hidden="false" customHeight="true" outlineLevel="0" collapsed="false">
      <c r="B47" s="3" t="s">
        <v>184</v>
      </c>
      <c r="C47" s="5" t="s">
        <v>121</v>
      </c>
      <c r="E47" s="43" t="n">
        <f aca="false">E39+E44</f>
        <v>19550</v>
      </c>
      <c r="F47" s="43" t="n">
        <f aca="false">F39+F44</f>
        <v>21410.0679957078</v>
      </c>
      <c r="G47" s="43" t="n">
        <f aca="false">G39+G44</f>
        <v>23486.4873130066</v>
      </c>
      <c r="H47" s="43" t="n">
        <f aca="false">H39+H44</f>
        <v>25642.4984780407</v>
      </c>
      <c r="I47" s="43" t="n">
        <f aca="false">I39+I44</f>
        <v>27863.1927510621</v>
      </c>
      <c r="J47" s="43" t="n">
        <f aca="false">J39+J44</f>
        <v>30131.3656364255</v>
      </c>
      <c r="K47" s="43" t="n">
        <f aca="false">K39+K44</f>
        <v>32427.7138376402</v>
      </c>
      <c r="L47" s="43" t="n">
        <f aca="false">L39+L44</f>
        <v>34731.1122177461</v>
      </c>
    </row>
    <row r="48" customFormat="false" ht="15" hidden="false" customHeight="true" outlineLevel="0" collapsed="false">
      <c r="B48" s="7" t="s">
        <v>185</v>
      </c>
      <c r="C48" s="5" t="s">
        <v>152</v>
      </c>
      <c r="F48" s="45" t="n">
        <f aca="false">F47/E47-1</f>
        <v>0.0951441430029558</v>
      </c>
      <c r="G48" s="45" t="n">
        <f aca="false">G47/F47-1</f>
        <v>0.0969833126039132</v>
      </c>
      <c r="H48" s="45" t="n">
        <f aca="false">H47/G47-1</f>
        <v>0.0917979405051432</v>
      </c>
      <c r="I48" s="45" t="n">
        <f aca="false">I47/H47-1</f>
        <v>0.0866021021673473</v>
      </c>
      <c r="J48" s="45" t="n">
        <f aca="false">J47/I47-1</f>
        <v>0.0814039118068044</v>
      </c>
      <c r="K48" s="45" t="n">
        <f aca="false">K47/J47-1</f>
        <v>0.0762112221836602</v>
      </c>
      <c r="L48" s="45" t="n">
        <f aca="false">L47/K47-1</f>
        <v>0.0710317844680186</v>
      </c>
    </row>
    <row r="49" customFormat="false" ht="15" hidden="false" customHeight="true" outlineLevel="0" collapsed="false">
      <c r="B49" s="6" t="s">
        <v>186</v>
      </c>
      <c r="C49" s="6"/>
      <c r="D49" s="6"/>
      <c r="E49" s="6"/>
      <c r="F49" s="6"/>
      <c r="G49" s="6"/>
      <c r="H49" s="6"/>
      <c r="I49" s="6"/>
      <c r="J49" s="6"/>
      <c r="K49" s="6"/>
      <c r="L49" s="6"/>
    </row>
    <row r="50" customFormat="false" ht="15" hidden="false" customHeight="true" outlineLevel="0" collapsed="false">
      <c r="B50" s="7" t="s">
        <v>187</v>
      </c>
      <c r="C50" s="5" t="s">
        <v>152</v>
      </c>
      <c r="E50" s="46" t="n">
        <v>0.578</v>
      </c>
      <c r="F50" s="29" t="n">
        <f aca="false">E50-'0_Dashboard_Toggles'!$H$29/10000</f>
        <v>0.571</v>
      </c>
      <c r="G50" s="29" t="n">
        <f aca="false">F50-'0_Dashboard_Toggles'!$H$29/10000</f>
        <v>0.564</v>
      </c>
      <c r="H50" s="29" t="n">
        <f aca="false">G50-'0_Dashboard_Toggles'!$H$29/10000</f>
        <v>0.557</v>
      </c>
      <c r="I50" s="29" t="n">
        <f aca="false">H50-'0_Dashboard_Toggles'!$H$29/10000</f>
        <v>0.55</v>
      </c>
      <c r="J50" s="29" t="n">
        <f aca="false">I50-'0_Dashboard_Toggles'!$H$29/10000</f>
        <v>0.543</v>
      </c>
      <c r="K50" s="29" t="n">
        <f aca="false">J50-'0_Dashboard_Toggles'!$H$29/10000</f>
        <v>0.536</v>
      </c>
      <c r="L50" s="29" t="n">
        <f aca="false">K50-'0_Dashboard_Toggles'!$H$29/10000</f>
        <v>0.529</v>
      </c>
    </row>
    <row r="51" customFormat="false" ht="15" hidden="false" customHeight="true" outlineLevel="0" collapsed="false">
      <c r="B51" s="7" t="s">
        <v>188</v>
      </c>
      <c r="C51" s="5" t="s">
        <v>121</v>
      </c>
      <c r="E51" s="41" t="n">
        <f aca="false">E39*E50</f>
        <v>10230.6</v>
      </c>
      <c r="F51" s="41" t="n">
        <f aca="false">F39*F50</f>
        <v>11084.2908255491</v>
      </c>
      <c r="G51" s="41" t="n">
        <f aca="false">G39*G50</f>
        <v>12029.3570845357</v>
      </c>
      <c r="H51" s="41" t="n">
        <f aca="false">H39*H50</f>
        <v>12984.8014218687</v>
      </c>
      <c r="I51" s="41" t="n">
        <f aca="false">I39*I50</f>
        <v>13940.4584962841</v>
      </c>
      <c r="J51" s="41" t="n">
        <f aca="false">J39*J50</f>
        <v>14885.3180210296</v>
      </c>
      <c r="K51" s="41" t="n">
        <f aca="false">K39*K50</f>
        <v>15807.7100383439</v>
      </c>
      <c r="L51" s="41" t="n">
        <f aca="false">L39*L50</f>
        <v>16695.5242425466</v>
      </c>
    </row>
    <row r="52" customFormat="false" ht="15" hidden="false" customHeight="true" outlineLevel="0" collapsed="false">
      <c r="B52" s="7" t="s">
        <v>189</v>
      </c>
      <c r="C52" s="5" t="s">
        <v>152</v>
      </c>
      <c r="E52" s="46" t="n">
        <v>0.04</v>
      </c>
      <c r="F52" s="45" t="n">
        <f aca="false">E52</f>
        <v>0.04</v>
      </c>
      <c r="G52" s="45" t="n">
        <f aca="false">F52</f>
        <v>0.04</v>
      </c>
      <c r="H52" s="45" t="n">
        <f aca="false">G52</f>
        <v>0.04</v>
      </c>
      <c r="I52" s="45" t="n">
        <f aca="false">H52</f>
        <v>0.04</v>
      </c>
      <c r="J52" s="45" t="n">
        <f aca="false">I52</f>
        <v>0.04</v>
      </c>
      <c r="K52" s="45" t="n">
        <f aca="false">J52</f>
        <v>0.04</v>
      </c>
      <c r="L52" s="45" t="n">
        <f aca="false">K52</f>
        <v>0.04</v>
      </c>
    </row>
    <row r="53" customFormat="false" ht="15" hidden="false" customHeight="true" outlineLevel="0" collapsed="false">
      <c r="B53" s="7" t="s">
        <v>190</v>
      </c>
      <c r="C53" s="5" t="s">
        <v>121</v>
      </c>
      <c r="E53" s="41" t="n">
        <f aca="false">E39*E52</f>
        <v>708</v>
      </c>
      <c r="F53" s="41" t="n">
        <f aca="false">F39*F52</f>
        <v>776.482719828312</v>
      </c>
      <c r="G53" s="41" t="n">
        <f aca="false">G39*G52</f>
        <v>853.145892520262</v>
      </c>
      <c r="H53" s="41" t="n">
        <f aca="false">H39*H52</f>
        <v>932.481251121629</v>
      </c>
      <c r="I53" s="41" t="n">
        <f aca="false">I39*I52</f>
        <v>1013.85152700248</v>
      </c>
      <c r="J53" s="41" t="n">
        <f aca="false">J39*J52</f>
        <v>1096.52434777382</v>
      </c>
      <c r="K53" s="41" t="n">
        <f aca="false">K39*K52</f>
        <v>1179.67985360775</v>
      </c>
      <c r="L53" s="41" t="n">
        <f aca="false">L39*L52</f>
        <v>1262.42149282016</v>
      </c>
    </row>
    <row r="54" customFormat="false" ht="15" hidden="false" customHeight="true" outlineLevel="0" collapsed="false">
      <c r="B54" s="7" t="s">
        <v>191</v>
      </c>
      <c r="C54" s="5" t="s">
        <v>152</v>
      </c>
      <c r="D54" s="60" t="n">
        <v>0.001</v>
      </c>
      <c r="E54" s="46" t="n">
        <v>0.036</v>
      </c>
      <c r="F54" s="45" t="n">
        <f aca="false">E54-$D$54</f>
        <v>0.035</v>
      </c>
      <c r="G54" s="45" t="n">
        <f aca="false">F54-$D$54</f>
        <v>0.034</v>
      </c>
      <c r="H54" s="45" t="n">
        <f aca="false">G54-$D$54</f>
        <v>0.033</v>
      </c>
      <c r="I54" s="45" t="n">
        <f aca="false">H54-$D$54</f>
        <v>0.032</v>
      </c>
      <c r="J54" s="45" t="n">
        <f aca="false">I54-$D$54</f>
        <v>0.031</v>
      </c>
      <c r="K54" s="45" t="n">
        <f aca="false">J54-$D$54</f>
        <v>0.03</v>
      </c>
      <c r="L54" s="45" t="n">
        <f aca="false">K54-$D$54</f>
        <v>0.029</v>
      </c>
    </row>
    <row r="55" customFormat="false" ht="15" hidden="false" customHeight="true" outlineLevel="0" collapsed="false">
      <c r="B55" s="7" t="s">
        <v>192</v>
      </c>
      <c r="C55" s="5" t="s">
        <v>121</v>
      </c>
      <c r="E55" s="41" t="n">
        <f aca="false">E39*E54</f>
        <v>637.2</v>
      </c>
      <c r="F55" s="41" t="n">
        <f aca="false">F39*F54</f>
        <v>679.422379849773</v>
      </c>
      <c r="G55" s="41" t="n">
        <f aca="false">G39*G54</f>
        <v>725.174008642223</v>
      </c>
      <c r="H55" s="41" t="n">
        <f aca="false">H39*H54</f>
        <v>769.297032175344</v>
      </c>
      <c r="I55" s="41" t="n">
        <f aca="false">I39*I54</f>
        <v>811.081221601986</v>
      </c>
      <c r="J55" s="41" t="n">
        <f aca="false">J39*J54</f>
        <v>849.806369524711</v>
      </c>
      <c r="K55" s="41" t="n">
        <f aca="false">K39*K54</f>
        <v>884.759890205815</v>
      </c>
      <c r="L55" s="41" t="n">
        <f aca="false">L39*L54</f>
        <v>915.255582294615</v>
      </c>
    </row>
    <row r="56" customFormat="false" ht="15" hidden="false" customHeight="true" outlineLevel="0" collapsed="false">
      <c r="B56" s="7" t="s">
        <v>193</v>
      </c>
      <c r="C56" s="5" t="s">
        <v>152</v>
      </c>
      <c r="E56" s="45" t="n">
        <f aca="false">1-E50-E52-E54</f>
        <v>0.346</v>
      </c>
      <c r="F56" s="45" t="n">
        <f aca="false">1-F50-F52-F54</f>
        <v>0.354</v>
      </c>
      <c r="G56" s="45" t="n">
        <f aca="false">1-G50-G52-G54</f>
        <v>0.362</v>
      </c>
      <c r="H56" s="45" t="n">
        <f aca="false">1-H50-H52-H54</f>
        <v>0.37</v>
      </c>
      <c r="I56" s="45" t="n">
        <f aca="false">1-I50-I52-I54</f>
        <v>0.378</v>
      </c>
      <c r="J56" s="45" t="n">
        <f aca="false">1-J50-J52-J54</f>
        <v>0.386</v>
      </c>
      <c r="K56" s="45" t="n">
        <f aca="false">1-K50-K52-K54</f>
        <v>0.394</v>
      </c>
      <c r="L56" s="45" t="n">
        <f aca="false">1-L50-L52-L54</f>
        <v>0.402</v>
      </c>
    </row>
    <row r="57" customFormat="false" ht="15" hidden="false" customHeight="true" outlineLevel="0" collapsed="false">
      <c r="B57" s="7" t="s">
        <v>194</v>
      </c>
      <c r="C57" s="5" t="s">
        <v>152</v>
      </c>
      <c r="E57" s="46" t="n">
        <v>0.177</v>
      </c>
      <c r="F57" s="29" t="n">
        <f aca="false">E57+('0_Dashboard_Toggles'!$H$30-$E$57)/7</f>
        <v>0.194571428571429</v>
      </c>
      <c r="G57" s="29" t="n">
        <f aca="false">F57+('0_Dashboard_Toggles'!$H$30-$E$57)/7</f>
        <v>0.212142857142857</v>
      </c>
      <c r="H57" s="29" t="n">
        <f aca="false">G57+('0_Dashboard_Toggles'!$H$30-$E$57)/7</f>
        <v>0.229714285714286</v>
      </c>
      <c r="I57" s="29" t="n">
        <f aca="false">H57+('0_Dashboard_Toggles'!$H$30-$E$57)/7</f>
        <v>0.247285714285714</v>
      </c>
      <c r="J57" s="29" t="n">
        <f aca="false">I57+('0_Dashboard_Toggles'!$H$30-$E$57)/7</f>
        <v>0.264857142857143</v>
      </c>
      <c r="K57" s="29" t="n">
        <f aca="false">J57+('0_Dashboard_Toggles'!$H$30-$E$57)/7</f>
        <v>0.282428571428571</v>
      </c>
      <c r="L57" s="29" t="n">
        <f aca="false">K57+('0_Dashboard_Toggles'!$H$30-$E$57)/7</f>
        <v>0.3</v>
      </c>
    </row>
    <row r="58" customFormat="false" ht="15" hidden="false" customHeight="true" outlineLevel="0" collapsed="false">
      <c r="B58" s="7" t="s">
        <v>195</v>
      </c>
      <c r="C58" s="5" t="s">
        <v>121</v>
      </c>
      <c r="E58" s="41" t="n">
        <f aca="false">E44*(1-E57)</f>
        <v>1522.55</v>
      </c>
      <c r="F58" s="41" t="n">
        <f aca="false">F44*(1-F57)</f>
        <v>1609.24628571429</v>
      </c>
      <c r="G58" s="41" t="n">
        <f aca="false">G44*(1-G57)</f>
        <v>1700.06965714286</v>
      </c>
      <c r="H58" s="41" t="n">
        <f aca="false">H44*(1-H57)</f>
        <v>1795.12559177143</v>
      </c>
      <c r="I58" s="41" t="n">
        <f aca="false">I44*(1-I57)</f>
        <v>1894.51003013486</v>
      </c>
      <c r="J58" s="41" t="n">
        <f aca="false">J44*(1-J57)</f>
        <v>1998.3071748491</v>
      </c>
      <c r="K58" s="41" t="n">
        <f aca="false">K44*(1-K57)</f>
        <v>2106.58699852475</v>
      </c>
      <c r="L58" s="41" t="n">
        <f aca="false">L44*(1-L57)</f>
        <v>2219.40242806948</v>
      </c>
    </row>
    <row r="59" customFormat="false" ht="15" hidden="false" customHeight="true" outlineLevel="0" collapsed="false">
      <c r="B59" s="3" t="s">
        <v>196</v>
      </c>
      <c r="C59" s="5" t="s">
        <v>121</v>
      </c>
      <c r="E59" s="43" t="n">
        <f aca="false">E51+E53+E55+E58</f>
        <v>13098.35</v>
      </c>
      <c r="F59" s="43" t="n">
        <f aca="false">F51+F53+F55+F58</f>
        <v>14149.4422109415</v>
      </c>
      <c r="G59" s="43" t="n">
        <f aca="false">G51+G53+G55+G58</f>
        <v>15307.746642841</v>
      </c>
      <c r="H59" s="43" t="n">
        <f aca="false">H51+H53+H55+H58</f>
        <v>16481.7052969371</v>
      </c>
      <c r="I59" s="43" t="n">
        <f aca="false">I51+I53+I55+I58</f>
        <v>17659.9012750235</v>
      </c>
      <c r="J59" s="43" t="n">
        <f aca="false">J51+J53+J55+J58</f>
        <v>18829.9559131772</v>
      </c>
      <c r="K59" s="43" t="n">
        <f aca="false">K51+K53+K55+K58</f>
        <v>19978.7367806822</v>
      </c>
      <c r="L59" s="43" t="n">
        <f aca="false">L51+L53+L55+L58</f>
        <v>21092.6037457309</v>
      </c>
    </row>
    <row r="60" customFormat="false" ht="15" hidden="false" customHeight="true" outlineLevel="0" collapsed="false">
      <c r="B60" s="3" t="s">
        <v>197</v>
      </c>
      <c r="C60" s="5" t="s">
        <v>121</v>
      </c>
      <c r="E60" s="43" t="n">
        <f aca="false">E47-E59</f>
        <v>6451.65</v>
      </c>
      <c r="F60" s="43" t="n">
        <f aca="false">F47-F59</f>
        <v>7260.62578476627</v>
      </c>
      <c r="G60" s="43" t="n">
        <f aca="false">G47-G59</f>
        <v>8178.74067016552</v>
      </c>
      <c r="H60" s="43" t="n">
        <f aca="false">H47-H59</f>
        <v>9160.79318110365</v>
      </c>
      <c r="I60" s="43" t="n">
        <f aca="false">I47-I59</f>
        <v>10203.2914760386</v>
      </c>
      <c r="J60" s="43" t="n">
        <f aca="false">J47-J59</f>
        <v>11301.4097232483</v>
      </c>
      <c r="K60" s="43" t="n">
        <f aca="false">K47-K59</f>
        <v>12448.977056958</v>
      </c>
      <c r="L60" s="43" t="n">
        <f aca="false">L47-L59</f>
        <v>13638.5084720152</v>
      </c>
    </row>
    <row r="61" customFormat="false" ht="15" hidden="false" customHeight="true" outlineLevel="0" collapsed="false">
      <c r="B61" s="7" t="s">
        <v>198</v>
      </c>
      <c r="C61" s="5" t="s">
        <v>152</v>
      </c>
      <c r="E61" s="45" t="n">
        <f aca="false">E60/E47</f>
        <v>0.330007672634271</v>
      </c>
      <c r="F61" s="45" t="n">
        <f aca="false">F60/F47</f>
        <v>0.339122032971678</v>
      </c>
      <c r="G61" s="45" t="n">
        <f aca="false">G60/G47</f>
        <v>0.34823175390882</v>
      </c>
      <c r="H61" s="45" t="n">
        <f aca="false">H60/H47</f>
        <v>0.357250413369376</v>
      </c>
      <c r="I61" s="45" t="n">
        <f aca="false">I60/I47</f>
        <v>0.366192473604795</v>
      </c>
      <c r="J61" s="45" t="n">
        <f aca="false">J60/J47</f>
        <v>0.375071274883941</v>
      </c>
      <c r="K61" s="45" t="n">
        <f aca="false">K60/K47</f>
        <v>0.38389931276956</v>
      </c>
      <c r="L61" s="45" t="n">
        <f aca="false">L60/L47</f>
        <v>0.392688503221804</v>
      </c>
    </row>
    <row r="62" customFormat="false" ht="15" hidden="false" customHeight="true" outlineLevel="0" collapsed="false">
      <c r="B62" s="6" t="s">
        <v>199</v>
      </c>
      <c r="C62" s="6"/>
      <c r="D62" s="6"/>
      <c r="E62" s="6"/>
      <c r="F62" s="6"/>
      <c r="G62" s="6"/>
      <c r="H62" s="6"/>
      <c r="I62" s="6"/>
      <c r="J62" s="6"/>
      <c r="K62" s="6"/>
      <c r="L62" s="6"/>
    </row>
    <row r="63" customFormat="false" ht="15" hidden="false" customHeight="true" outlineLevel="0" collapsed="false">
      <c r="B63" s="7" t="s">
        <v>200</v>
      </c>
      <c r="C63" s="5" t="s">
        <v>152</v>
      </c>
      <c r="E63" s="46" t="n">
        <v>0.079</v>
      </c>
      <c r="F63" s="29" t="n">
        <f aca="false">$E$63+('0_Dashboard_Toggles'!$H$31-$E$63)*MIN(1,F$4/3)</f>
        <v>0.076</v>
      </c>
      <c r="G63" s="29" t="n">
        <f aca="false">$E$63+('0_Dashboard_Toggles'!$H$31-$E$63)*MIN(1,G$4/3)</f>
        <v>0.073</v>
      </c>
      <c r="H63" s="29" t="n">
        <f aca="false">$E$63+('0_Dashboard_Toggles'!$H$31-$E$63)*MIN(1,H$4/3)</f>
        <v>0.07</v>
      </c>
      <c r="I63" s="29" t="n">
        <f aca="false">$E$63+('0_Dashboard_Toggles'!$H$31-$E$63)*MIN(1,I$4/3)</f>
        <v>0.07</v>
      </c>
      <c r="J63" s="29" t="n">
        <f aca="false">$E$63+('0_Dashboard_Toggles'!$H$31-$E$63)*MIN(1,J$4/3)</f>
        <v>0.07</v>
      </c>
      <c r="K63" s="29" t="n">
        <f aca="false">$E$63+('0_Dashboard_Toggles'!$H$31-$E$63)*MIN(1,K$4/3)</f>
        <v>0.07</v>
      </c>
      <c r="L63" s="29" t="n">
        <f aca="false">$E$63+('0_Dashboard_Toggles'!$H$31-$E$63)*MIN(1,L$4/3)</f>
        <v>0.07</v>
      </c>
    </row>
    <row r="64" customFormat="false" ht="15" hidden="false" customHeight="true" outlineLevel="0" collapsed="false">
      <c r="B64" s="7" t="s">
        <v>201</v>
      </c>
      <c r="C64" s="5" t="s">
        <v>152</v>
      </c>
      <c r="E64" s="46" t="n">
        <v>0.079</v>
      </c>
      <c r="F64" s="29" t="n">
        <f aca="false">$E$64+('0_Dashboard_Toggles'!$H$32-$E$64)*MIN(1,F$4/3)</f>
        <v>0.076</v>
      </c>
      <c r="G64" s="29" t="n">
        <f aca="false">$E$64+('0_Dashboard_Toggles'!$H$32-$E$64)*MIN(1,G$4/3)</f>
        <v>0.073</v>
      </c>
      <c r="H64" s="29" t="n">
        <f aca="false">$E$64+('0_Dashboard_Toggles'!$H$32-$E$64)*MIN(1,H$4/3)</f>
        <v>0.07</v>
      </c>
      <c r="I64" s="29" t="n">
        <f aca="false">$E$64+('0_Dashboard_Toggles'!$H$32-$E$64)*MIN(1,I$4/3)</f>
        <v>0.07</v>
      </c>
      <c r="J64" s="29" t="n">
        <f aca="false">$E$64+('0_Dashboard_Toggles'!$H$32-$E$64)*MIN(1,J$4/3)</f>
        <v>0.07</v>
      </c>
      <c r="K64" s="29" t="n">
        <f aca="false">$E$64+('0_Dashboard_Toggles'!$H$32-$E$64)*MIN(1,K$4/3)</f>
        <v>0.07</v>
      </c>
      <c r="L64" s="29" t="n">
        <f aca="false">$E$64+('0_Dashboard_Toggles'!$H$32-$E$64)*MIN(1,L$4/3)</f>
        <v>0.07</v>
      </c>
    </row>
    <row r="65" customFormat="false" ht="15" hidden="false" customHeight="true" outlineLevel="0" collapsed="false">
      <c r="B65" s="7" t="s">
        <v>202</v>
      </c>
      <c r="C65" s="5" t="s">
        <v>152</v>
      </c>
      <c r="E65" s="46" t="n">
        <v>0.027</v>
      </c>
      <c r="F65" s="29" t="n">
        <f aca="false">$E$65+('0_Dashboard_Toggles'!$H$33-$E$65)*MIN(1,F$4/3)</f>
        <v>0.0263333333333333</v>
      </c>
      <c r="G65" s="29" t="n">
        <f aca="false">$E$65+('0_Dashboard_Toggles'!$H$33-$E$65)*MIN(1,G$4/3)</f>
        <v>0.0256666666666667</v>
      </c>
      <c r="H65" s="29" t="n">
        <f aca="false">$E$65+('0_Dashboard_Toggles'!$H$33-$E$65)*MIN(1,H$4/3)</f>
        <v>0.025</v>
      </c>
      <c r="I65" s="29" t="n">
        <f aca="false">$E$65+('0_Dashboard_Toggles'!$H$33-$E$65)*MIN(1,I$4/3)</f>
        <v>0.025</v>
      </c>
      <c r="J65" s="29" t="n">
        <f aca="false">$E$65+('0_Dashboard_Toggles'!$H$33-$E$65)*MIN(1,J$4/3)</f>
        <v>0.025</v>
      </c>
      <c r="K65" s="29" t="n">
        <f aca="false">$E$65+('0_Dashboard_Toggles'!$H$33-$E$65)*MIN(1,K$4/3)</f>
        <v>0.025</v>
      </c>
      <c r="L65" s="29" t="n">
        <f aca="false">$E$65+('0_Dashboard_Toggles'!$H$33-$E$65)*MIN(1,L$4/3)</f>
        <v>0.025</v>
      </c>
    </row>
    <row r="66" customFormat="false" ht="15" hidden="false" customHeight="true" outlineLevel="0" collapsed="false">
      <c r="B66" s="7" t="s">
        <v>203</v>
      </c>
      <c r="C66" s="5" t="s">
        <v>121</v>
      </c>
      <c r="E66" s="41" t="n">
        <f aca="false">E47*E63</f>
        <v>1544.45</v>
      </c>
      <c r="F66" s="41" t="n">
        <f aca="false">F47*F63</f>
        <v>1627.16516767379</v>
      </c>
      <c r="G66" s="41" t="n">
        <f aca="false">G47*G63</f>
        <v>1714.51357384948</v>
      </c>
      <c r="H66" s="41" t="n">
        <f aca="false">H47*H63</f>
        <v>1794.97489346285</v>
      </c>
      <c r="I66" s="41" t="n">
        <f aca="false">I47*I63</f>
        <v>1950.42349257434</v>
      </c>
      <c r="J66" s="41" t="n">
        <f aca="false">J47*J63</f>
        <v>2109.19559454979</v>
      </c>
      <c r="K66" s="41" t="n">
        <f aca="false">K47*K63</f>
        <v>2269.93996863482</v>
      </c>
      <c r="L66" s="41" t="n">
        <f aca="false">L47*L63</f>
        <v>2431.17785524223</v>
      </c>
    </row>
    <row r="67" customFormat="false" ht="15" hidden="false" customHeight="true" outlineLevel="0" collapsed="false">
      <c r="B67" s="7" t="s">
        <v>204</v>
      </c>
      <c r="C67" s="5" t="s">
        <v>121</v>
      </c>
      <c r="E67" s="41" t="n">
        <f aca="false">E47*E64</f>
        <v>1544.45</v>
      </c>
      <c r="F67" s="41" t="n">
        <f aca="false">F47*F64</f>
        <v>1627.16516767379</v>
      </c>
      <c r="G67" s="41" t="n">
        <f aca="false">G47*G64</f>
        <v>1714.51357384948</v>
      </c>
      <c r="H67" s="41" t="n">
        <f aca="false">H47*H64</f>
        <v>1794.97489346285</v>
      </c>
      <c r="I67" s="41" t="n">
        <f aca="false">I47*I64</f>
        <v>1950.42349257434</v>
      </c>
      <c r="J67" s="41" t="n">
        <f aca="false">J47*J64</f>
        <v>2109.19559454979</v>
      </c>
      <c r="K67" s="41" t="n">
        <f aca="false">K47*K64</f>
        <v>2269.93996863482</v>
      </c>
      <c r="L67" s="41" t="n">
        <f aca="false">L47*L64</f>
        <v>2431.17785524223</v>
      </c>
    </row>
    <row r="68" customFormat="false" ht="15" hidden="false" customHeight="true" outlineLevel="0" collapsed="false">
      <c r="B68" s="7" t="s">
        <v>205</v>
      </c>
      <c r="C68" s="5" t="s">
        <v>121</v>
      </c>
      <c r="E68" s="41" t="n">
        <f aca="false">E47*E65</f>
        <v>527.85</v>
      </c>
      <c r="F68" s="41" t="n">
        <f aca="false">F47*F65</f>
        <v>563.798457220305</v>
      </c>
      <c r="G68" s="41" t="n">
        <f aca="false">G47*G65</f>
        <v>602.819841033835</v>
      </c>
      <c r="H68" s="41" t="n">
        <f aca="false">H47*H65</f>
        <v>641.062461951018</v>
      </c>
      <c r="I68" s="41" t="n">
        <f aca="false">I47*I65</f>
        <v>696.579818776552</v>
      </c>
      <c r="J68" s="41" t="n">
        <f aca="false">J47*J65</f>
        <v>753.284140910638</v>
      </c>
      <c r="K68" s="41" t="n">
        <f aca="false">K47*K65</f>
        <v>810.692845941006</v>
      </c>
      <c r="L68" s="41" t="n">
        <f aca="false">L47*L65</f>
        <v>868.277805443652</v>
      </c>
    </row>
    <row r="69" customFormat="false" ht="15" hidden="false" customHeight="true" outlineLevel="0" collapsed="false">
      <c r="B69" s="3" t="s">
        <v>206</v>
      </c>
      <c r="C69" s="5" t="s">
        <v>121</v>
      </c>
      <c r="E69" s="43" t="n">
        <f aca="false">SUM(E66:E68)</f>
        <v>3616.75</v>
      </c>
      <c r="F69" s="43" t="n">
        <f aca="false">SUM(F66:F68)</f>
        <v>3818.12879256789</v>
      </c>
      <c r="G69" s="43" t="n">
        <f aca="false">SUM(G66:G68)</f>
        <v>4031.84698873279</v>
      </c>
      <c r="H69" s="43" t="n">
        <f aca="false">SUM(H66:H68)</f>
        <v>4231.01224887672</v>
      </c>
      <c r="I69" s="43" t="n">
        <f aca="false">SUM(I66:I68)</f>
        <v>4597.42680392524</v>
      </c>
      <c r="J69" s="43" t="n">
        <f aca="false">SUM(J66:J68)</f>
        <v>4971.67533001021</v>
      </c>
      <c r="K69" s="43" t="n">
        <f aca="false">SUM(K66:K68)</f>
        <v>5350.57278321064</v>
      </c>
      <c r="L69" s="43" t="n">
        <f aca="false">SUM(L66:L68)</f>
        <v>5730.6335159281</v>
      </c>
    </row>
    <row r="70" customFormat="false" ht="15" hidden="false" customHeight="true" outlineLevel="0" collapsed="false">
      <c r="B70" s="3" t="s">
        <v>207</v>
      </c>
      <c r="C70" s="5" t="s">
        <v>121</v>
      </c>
      <c r="E70" s="43" t="n">
        <f aca="false">E60-E69</f>
        <v>2834.9</v>
      </c>
      <c r="F70" s="43" t="n">
        <f aca="false">F60-F69</f>
        <v>3442.49699219838</v>
      </c>
      <c r="G70" s="43" t="n">
        <f aca="false">G60-G69</f>
        <v>4146.89368143272</v>
      </c>
      <c r="H70" s="43" t="n">
        <f aca="false">H60-H69</f>
        <v>4929.78093222693</v>
      </c>
      <c r="I70" s="43" t="n">
        <f aca="false">I60-I69</f>
        <v>5605.86467211336</v>
      </c>
      <c r="J70" s="43" t="n">
        <f aca="false">J60-J69</f>
        <v>6329.73439323806</v>
      </c>
      <c r="K70" s="43" t="n">
        <f aca="false">K60-K69</f>
        <v>7098.40427374739</v>
      </c>
      <c r="L70" s="43" t="n">
        <f aca="false">L60-L69</f>
        <v>7907.87495608713</v>
      </c>
    </row>
    <row r="71" customFormat="false" ht="15" hidden="false" customHeight="true" outlineLevel="0" collapsed="false">
      <c r="B71" s="7" t="s">
        <v>208</v>
      </c>
      <c r="C71" s="5" t="s">
        <v>152</v>
      </c>
      <c r="E71" s="45" t="n">
        <f aca="false">E70/E47</f>
        <v>0.145007672634271</v>
      </c>
      <c r="F71" s="45" t="n">
        <f aca="false">F70/F47</f>
        <v>0.160788699638344</v>
      </c>
      <c r="G71" s="45" t="n">
        <f aca="false">G70/G47</f>
        <v>0.176565087242153</v>
      </c>
      <c r="H71" s="45" t="n">
        <f aca="false">H70/H47</f>
        <v>0.192250413369376</v>
      </c>
      <c r="I71" s="45" t="n">
        <f aca="false">I70/I47</f>
        <v>0.201192473604795</v>
      </c>
      <c r="J71" s="45" t="n">
        <f aca="false">J70/J47</f>
        <v>0.210071274883941</v>
      </c>
      <c r="K71" s="45" t="n">
        <f aca="false">K70/K47</f>
        <v>0.21889931276956</v>
      </c>
      <c r="L71" s="45" t="n">
        <f aca="false">L70/L47</f>
        <v>0.227688503221804</v>
      </c>
    </row>
    <row r="72" customFormat="false" ht="15" hidden="false" customHeight="true" outlineLevel="0" collapsed="false">
      <c r="B72" s="6" t="s">
        <v>209</v>
      </c>
      <c r="C72" s="6"/>
      <c r="D72" s="6"/>
      <c r="E72" s="6"/>
      <c r="F72" s="6"/>
      <c r="G72" s="6"/>
      <c r="H72" s="6"/>
      <c r="I72" s="6"/>
      <c r="J72" s="6"/>
      <c r="K72" s="6"/>
      <c r="L72" s="6"/>
    </row>
    <row r="73" customFormat="false" ht="15" hidden="false" customHeight="true" outlineLevel="0" collapsed="false">
      <c r="B73" s="7" t="s">
        <v>210</v>
      </c>
      <c r="C73" s="5" t="s">
        <v>152</v>
      </c>
      <c r="E73" s="60" t="n">
        <v>0.0065</v>
      </c>
    </row>
    <row r="74" customFormat="false" ht="15" hidden="false" customHeight="true" outlineLevel="0" collapsed="false">
      <c r="B74" s="7" t="s">
        <v>211</v>
      </c>
      <c r="C74" s="5" t="s">
        <v>121</v>
      </c>
      <c r="E74" s="41" t="n">
        <f aca="false">E47*$E$73</f>
        <v>127.075</v>
      </c>
      <c r="F74" s="41" t="n">
        <f aca="false">F47*$E$73</f>
        <v>139.165441972101</v>
      </c>
      <c r="G74" s="41" t="n">
        <f aca="false">G47*$E$73</f>
        <v>152.662167534543</v>
      </c>
      <c r="H74" s="41" t="n">
        <f aca="false">H47*$E$73</f>
        <v>166.676240107265</v>
      </c>
      <c r="I74" s="41" t="n">
        <f aca="false">I47*$E$73</f>
        <v>181.110752881903</v>
      </c>
      <c r="J74" s="41" t="n">
        <f aca="false">J47*$E$73</f>
        <v>195.853876636766</v>
      </c>
      <c r="K74" s="41" t="n">
        <f aca="false">K47*$E$73</f>
        <v>210.780139944662</v>
      </c>
      <c r="L74" s="41" t="n">
        <f aca="false">L47*$E$73</f>
        <v>225.75222941535</v>
      </c>
    </row>
    <row r="75" customFormat="false" ht="15" hidden="false" customHeight="true" outlineLevel="0" collapsed="false">
      <c r="B75" s="7" t="s">
        <v>212</v>
      </c>
      <c r="C75" s="5" t="s">
        <v>152</v>
      </c>
      <c r="E75" s="60" t="n">
        <v>0.0164</v>
      </c>
    </row>
    <row r="76" customFormat="false" ht="15" hidden="false" customHeight="true" outlineLevel="0" collapsed="false">
      <c r="B76" s="7" t="s">
        <v>213</v>
      </c>
      <c r="C76" s="5" t="s">
        <v>121</v>
      </c>
      <c r="E76" s="41" t="n">
        <f aca="false">E47*$E$75</f>
        <v>320.62</v>
      </c>
      <c r="F76" s="41" t="n">
        <f aca="false">F47*$E$75</f>
        <v>351.125115129608</v>
      </c>
      <c r="G76" s="41" t="n">
        <f aca="false">G47*$E$75</f>
        <v>385.178391933308</v>
      </c>
      <c r="H76" s="41" t="n">
        <f aca="false">H47*$E$75</f>
        <v>420.536975039868</v>
      </c>
      <c r="I76" s="41" t="n">
        <f aca="false">I47*$E$75</f>
        <v>456.956361117418</v>
      </c>
      <c r="J76" s="41" t="n">
        <f aca="false">J47*$E$75</f>
        <v>494.154396437378</v>
      </c>
      <c r="K76" s="41" t="n">
        <f aca="false">K47*$E$75</f>
        <v>531.8145069373</v>
      </c>
      <c r="L76" s="41" t="n">
        <f aca="false">L47*$E$75</f>
        <v>569.590240371036</v>
      </c>
    </row>
    <row r="77" customFormat="false" ht="15" hidden="false" customHeight="true" outlineLevel="0" collapsed="false">
      <c r="B77" s="7" t="s">
        <v>214</v>
      </c>
      <c r="C77" s="5" t="s">
        <v>152</v>
      </c>
      <c r="E77" s="46" t="n">
        <v>0</v>
      </c>
      <c r="F77" s="29" t="n">
        <f aca="false">'0_Dashboard_Toggles'!$H$36</f>
        <v>0.5</v>
      </c>
      <c r="G77" s="29" t="n">
        <f aca="false">'0_Dashboard_Toggles'!$H$36</f>
        <v>0.5</v>
      </c>
      <c r="H77" s="29" t="n">
        <f aca="false">'0_Dashboard_Toggles'!$H$36</f>
        <v>0.5</v>
      </c>
      <c r="I77" s="29" t="n">
        <f aca="false">'0_Dashboard_Toggles'!$H$36</f>
        <v>0.5</v>
      </c>
      <c r="J77" s="29" t="n">
        <f aca="false">'0_Dashboard_Toggles'!$H$36</f>
        <v>0.5</v>
      </c>
      <c r="K77" s="29" t="n">
        <f aca="false">'0_Dashboard_Toggles'!$H$36</f>
        <v>0.5</v>
      </c>
      <c r="L77" s="29" t="n">
        <f aca="false">'0_Dashboard_Toggles'!$H$36</f>
        <v>0.5</v>
      </c>
    </row>
    <row r="78" customFormat="false" ht="15" hidden="false" customHeight="true" outlineLevel="0" collapsed="false">
      <c r="B78" s="7" t="s">
        <v>215</v>
      </c>
      <c r="C78" s="5" t="s">
        <v>121</v>
      </c>
      <c r="E78" s="41" t="n">
        <f aca="false">E76*(1-E77)</f>
        <v>320.62</v>
      </c>
      <c r="F78" s="41" t="n">
        <f aca="false">F76*(1-F77)</f>
        <v>175.562557564804</v>
      </c>
      <c r="G78" s="41" t="n">
        <f aca="false">G76*(1-G77)</f>
        <v>192.589195966654</v>
      </c>
      <c r="H78" s="41" t="n">
        <f aca="false">H76*(1-H77)</f>
        <v>210.268487519934</v>
      </c>
      <c r="I78" s="41" t="n">
        <f aca="false">I76*(1-I77)</f>
        <v>228.478180558709</v>
      </c>
      <c r="J78" s="41" t="n">
        <f aca="false">J76*(1-J77)</f>
        <v>247.077198218689</v>
      </c>
      <c r="K78" s="41" t="n">
        <f aca="false">K76*(1-K77)</f>
        <v>265.90725346865</v>
      </c>
      <c r="L78" s="41" t="n">
        <f aca="false">L76*(1-L77)</f>
        <v>284.795120185518</v>
      </c>
    </row>
    <row r="79" customFormat="false" ht="15" hidden="false" customHeight="true" outlineLevel="0" collapsed="false">
      <c r="B79" s="3" t="s">
        <v>216</v>
      </c>
      <c r="C79" s="5" t="s">
        <v>121</v>
      </c>
      <c r="E79" s="61" t="n">
        <f aca="false">E70+E74+E78</f>
        <v>3282.595</v>
      </c>
      <c r="F79" s="61" t="n">
        <f aca="false">F70+F74+F78</f>
        <v>3757.22499173529</v>
      </c>
      <c r="G79" s="61" t="n">
        <f aca="false">G70+G74+G78</f>
        <v>4492.14504493392</v>
      </c>
      <c r="H79" s="61" t="n">
        <f aca="false">H70+H74+H78</f>
        <v>5306.72565985412</v>
      </c>
      <c r="I79" s="61" t="n">
        <f aca="false">I70+I74+I78</f>
        <v>6015.45360555398</v>
      </c>
      <c r="J79" s="61" t="n">
        <f aca="false">J70+J74+J78</f>
        <v>6772.66546809352</v>
      </c>
      <c r="K79" s="61" t="n">
        <f aca="false">K70+K74+K78</f>
        <v>7575.0916671607</v>
      </c>
      <c r="L79" s="61" t="n">
        <f aca="false">L70+L74+L78</f>
        <v>8418.422305688</v>
      </c>
    </row>
    <row r="80" customFormat="false" ht="15" hidden="false" customHeight="true" outlineLevel="0" collapsed="false">
      <c r="B80" s="7" t="s">
        <v>217</v>
      </c>
      <c r="C80" s="5" t="s">
        <v>152</v>
      </c>
      <c r="E80" s="45" t="n">
        <f aca="false">E79/E47</f>
        <v>0.167907672634271</v>
      </c>
      <c r="F80" s="45" t="n">
        <f aca="false">F79/F47</f>
        <v>0.175488699638344</v>
      </c>
      <c r="G80" s="45" t="n">
        <f aca="false">G79/G47</f>
        <v>0.191265087242153</v>
      </c>
      <c r="H80" s="45" t="n">
        <f aca="false">H79/H47</f>
        <v>0.206950413369376</v>
      </c>
      <c r="I80" s="45" t="n">
        <f aca="false">I79/I47</f>
        <v>0.215892473604795</v>
      </c>
      <c r="J80" s="45" t="n">
        <f aca="false">J79/J47</f>
        <v>0.224771274883941</v>
      </c>
      <c r="K80" s="45" t="n">
        <f aca="false">K79/K47</f>
        <v>0.23359931276956</v>
      </c>
      <c r="L80" s="45" t="n">
        <f aca="false">L79/L47</f>
        <v>0.242388503221804</v>
      </c>
    </row>
    <row r="82" customFormat="false" ht="15" hidden="false" customHeight="true" outlineLevel="0" collapsed="false">
      <c r="B82" s="7" t="s">
        <v>218</v>
      </c>
      <c r="C82" s="5" t="s">
        <v>152</v>
      </c>
      <c r="E82" s="60" t="n">
        <v>0.0045</v>
      </c>
    </row>
    <row r="83" customFormat="false" ht="15" hidden="false" customHeight="true" outlineLevel="0" collapsed="false">
      <c r="B83" s="7" t="s">
        <v>219</v>
      </c>
      <c r="C83" s="5" t="s">
        <v>121</v>
      </c>
      <c r="E83" s="41" t="n">
        <f aca="false">E47*$E$82</f>
        <v>87.975</v>
      </c>
      <c r="F83" s="41" t="n">
        <f aca="false">F47*$E$82</f>
        <v>96.345305980685</v>
      </c>
      <c r="G83" s="41" t="n">
        <f aca="false">G47*$E$82</f>
        <v>105.689192908529</v>
      </c>
      <c r="H83" s="41" t="n">
        <f aca="false">H47*$E$82</f>
        <v>115.391243151183</v>
      </c>
      <c r="I83" s="41" t="n">
        <f aca="false">I47*$E$82</f>
        <v>125.384367379779</v>
      </c>
      <c r="J83" s="41" t="n">
        <f aca="false">J47*$E$82</f>
        <v>135.591145363915</v>
      </c>
      <c r="K83" s="41" t="n">
        <f aca="false">K47*$E$82</f>
        <v>145.924712269381</v>
      </c>
      <c r="L83" s="41" t="n">
        <f aca="false">L47*$E$82</f>
        <v>156.290004979857</v>
      </c>
    </row>
    <row r="84" customFormat="false" ht="15" hidden="false" customHeight="true" outlineLevel="0" collapsed="false">
      <c r="B84" s="7" t="s">
        <v>220</v>
      </c>
      <c r="C84" s="5" t="s">
        <v>152</v>
      </c>
      <c r="E84" s="45" t="n">
        <f aca="false">E85/E47</f>
        <v>-0.197391304347826</v>
      </c>
      <c r="F84" s="45" t="n">
        <f aca="false">$E$84</f>
        <v>-0.197391304347826</v>
      </c>
      <c r="G84" s="45" t="n">
        <f aca="false">$E$84</f>
        <v>-0.197391304347826</v>
      </c>
      <c r="H84" s="45" t="n">
        <f aca="false">$E$84</f>
        <v>-0.197391304347826</v>
      </c>
      <c r="I84" s="45" t="n">
        <f aca="false">$E$84</f>
        <v>-0.197391304347826</v>
      </c>
      <c r="J84" s="45" t="n">
        <f aca="false">$E$84</f>
        <v>-0.197391304347826</v>
      </c>
      <c r="K84" s="45" t="n">
        <f aca="false">$E$84</f>
        <v>-0.197391304347826</v>
      </c>
      <c r="L84" s="45" t="n">
        <f aca="false">$E$84</f>
        <v>-0.197391304347826</v>
      </c>
    </row>
    <row r="85" customFormat="false" ht="15" hidden="false" customHeight="true" outlineLevel="0" collapsed="false">
      <c r="B85" s="7" t="s">
        <v>221</v>
      </c>
      <c r="C85" s="5" t="s">
        <v>121</v>
      </c>
      <c r="E85" s="44" t="n">
        <v>-3859</v>
      </c>
      <c r="F85" s="41" t="n">
        <f aca="false">F47*F84</f>
        <v>-4226.16124784841</v>
      </c>
      <c r="G85" s="41" t="n">
        <f aca="false">G47*G84</f>
        <v>-4636.02836526303</v>
      </c>
      <c r="H85" s="41" t="n">
        <f aca="false">H47*H84</f>
        <v>-5061.60622131761</v>
      </c>
      <c r="I85" s="41" t="n">
        <f aca="false">I47*I84</f>
        <v>-5499.95196042703</v>
      </c>
      <c r="J85" s="41" t="n">
        <f aca="false">J47*J84</f>
        <v>-5947.6695647553</v>
      </c>
      <c r="K85" s="41" t="n">
        <f aca="false">K47*K84</f>
        <v>-6400.94873142986</v>
      </c>
      <c r="L85" s="41" t="n">
        <f aca="false">L47*L84</f>
        <v>-6855.61954211162</v>
      </c>
    </row>
    <row r="86" customFormat="false" ht="15" hidden="false" customHeight="true" outlineLevel="0" collapsed="false">
      <c r="B86" s="7" t="s">
        <v>222</v>
      </c>
      <c r="C86" s="5" t="s">
        <v>152</v>
      </c>
      <c r="E86" s="60" t="n">
        <v>0.0025</v>
      </c>
    </row>
    <row r="87" customFormat="false" ht="15" hidden="false" customHeight="true" outlineLevel="0" collapsed="false">
      <c r="B87" s="7" t="s">
        <v>223</v>
      </c>
      <c r="C87" s="5" t="s">
        <v>121</v>
      </c>
      <c r="F87" s="41" t="n">
        <f aca="false">F47*$E$86</f>
        <v>53.5251699892695</v>
      </c>
      <c r="G87" s="41" t="n">
        <f aca="false">G47*$E$86</f>
        <v>58.7162182825164</v>
      </c>
      <c r="H87" s="41" t="n">
        <f aca="false">H47*$E$86</f>
        <v>64.1062461951018</v>
      </c>
      <c r="I87" s="41" t="n">
        <f aca="false">I47*$E$86</f>
        <v>69.6579818776552</v>
      </c>
      <c r="J87" s="41" t="n">
        <f aca="false">J47*$E$86</f>
        <v>75.3284140910638</v>
      </c>
      <c r="K87" s="41" t="n">
        <f aca="false">K47*$E$86</f>
        <v>81.0692845941006</v>
      </c>
      <c r="L87" s="41" t="n">
        <f aca="false">L47*$E$86</f>
        <v>86.8277805443652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13"/>
    <col collapsed="false" customWidth="true" hidden="false" outlineLevel="0" max="4" min="4" style="1" width="30"/>
    <col collapsed="false" customWidth="true" hidden="false" outlineLevel="0" max="12" min="5" style="1" width="12"/>
  </cols>
  <sheetData>
    <row r="1" customFormat="false" ht="17.25" hidden="false" customHeight="true" outlineLevel="0" collapsed="false">
      <c r="B1" s="2" t="s">
        <v>224</v>
      </c>
      <c r="J1" s="3" t="s">
        <v>1</v>
      </c>
      <c r="K1" s="4" t="str">
        <f aca="false">'0_Dashboard_Toggles'!$D$49</f>
        <v>OK</v>
      </c>
    </row>
    <row r="2" customFormat="false" ht="15" hidden="false" customHeight="true" outlineLevel="0" collapsed="false">
      <c r="B2" s="5" t="s">
        <v>225</v>
      </c>
      <c r="E2" s="48" t="s">
        <v>147</v>
      </c>
    </row>
    <row r="3" customFormat="false" ht="15" hidden="false" customHeight="true" outlineLevel="0" collapsed="false">
      <c r="B3" s="3" t="s">
        <v>148</v>
      </c>
      <c r="E3" s="49" t="n">
        <v>2026</v>
      </c>
      <c r="F3" s="49" t="n">
        <v>2027</v>
      </c>
      <c r="G3" s="49" t="n">
        <v>2028</v>
      </c>
      <c r="H3" s="49" t="n">
        <v>2029</v>
      </c>
      <c r="I3" s="49" t="n">
        <v>2030</v>
      </c>
      <c r="J3" s="49" t="n">
        <v>2031</v>
      </c>
      <c r="K3" s="49" t="n">
        <v>2032</v>
      </c>
      <c r="L3" s="49" t="n">
        <v>2033</v>
      </c>
    </row>
    <row r="4" customFormat="false" ht="15" hidden="false" customHeight="true" outlineLevel="0" collapsed="false">
      <c r="B4" s="50" t="s">
        <v>149</v>
      </c>
      <c r="E4" s="51" t="n">
        <v>0</v>
      </c>
      <c r="F4" s="51" t="n">
        <v>1</v>
      </c>
      <c r="G4" s="51" t="n">
        <v>2</v>
      </c>
      <c r="H4" s="51" t="n">
        <v>3</v>
      </c>
      <c r="I4" s="51" t="n">
        <v>4</v>
      </c>
      <c r="J4" s="51" t="n">
        <v>5</v>
      </c>
      <c r="K4" s="51" t="n">
        <v>6</v>
      </c>
      <c r="L4" s="51" t="n">
        <v>7</v>
      </c>
    </row>
    <row r="5" customFormat="false" ht="15" hidden="false" customHeight="true" outlineLevel="0" collapsed="false">
      <c r="B5" s="7" t="s">
        <v>226</v>
      </c>
      <c r="C5" s="5" t="s">
        <v>121</v>
      </c>
      <c r="E5" s="27" t="n">
        <f aca="false">'2_Operating_Build'!E47</f>
        <v>19550</v>
      </c>
      <c r="F5" s="27" t="n">
        <f aca="false">'2_Operating_Build'!F47</f>
        <v>21410.0679957078</v>
      </c>
      <c r="G5" s="27" t="n">
        <f aca="false">'2_Operating_Build'!G47</f>
        <v>23486.4873130066</v>
      </c>
      <c r="H5" s="27" t="n">
        <f aca="false">'2_Operating_Build'!H47</f>
        <v>25642.4984780407</v>
      </c>
      <c r="I5" s="27" t="n">
        <f aca="false">'2_Operating_Build'!I47</f>
        <v>27863.1927510621</v>
      </c>
      <c r="J5" s="27" t="n">
        <f aca="false">'2_Operating_Build'!J47</f>
        <v>30131.3656364255</v>
      </c>
      <c r="K5" s="27" t="n">
        <f aca="false">'2_Operating_Build'!K47</f>
        <v>32427.7138376402</v>
      </c>
      <c r="L5" s="27" t="n">
        <f aca="false">'2_Operating_Build'!L47</f>
        <v>34731.1122177461</v>
      </c>
    </row>
    <row r="6" customFormat="false" ht="15" hidden="false" customHeight="true" outlineLevel="0" collapsed="false">
      <c r="B6" s="7" t="s">
        <v>227</v>
      </c>
      <c r="C6" s="5" t="s">
        <v>121</v>
      </c>
      <c r="E6" s="27" t="n">
        <f aca="false">-'2_Operating_Build'!E59</f>
        <v>-13098.35</v>
      </c>
      <c r="F6" s="27" t="n">
        <f aca="false">-'2_Operating_Build'!F59</f>
        <v>-14149.4422109415</v>
      </c>
      <c r="G6" s="27" t="n">
        <f aca="false">-'2_Operating_Build'!G59</f>
        <v>-15307.746642841</v>
      </c>
      <c r="H6" s="27" t="n">
        <f aca="false">-'2_Operating_Build'!H59</f>
        <v>-16481.7052969371</v>
      </c>
      <c r="I6" s="27" t="n">
        <f aca="false">-'2_Operating_Build'!I59</f>
        <v>-17659.9012750235</v>
      </c>
      <c r="J6" s="27" t="n">
        <f aca="false">-'2_Operating_Build'!J59</f>
        <v>-18829.9559131772</v>
      </c>
      <c r="K6" s="27" t="n">
        <f aca="false">-'2_Operating_Build'!K59</f>
        <v>-19978.7367806822</v>
      </c>
      <c r="L6" s="27" t="n">
        <f aca="false">-'2_Operating_Build'!L59</f>
        <v>-21092.6037457309</v>
      </c>
    </row>
    <row r="7" customFormat="false" ht="15" hidden="false" customHeight="true" outlineLevel="0" collapsed="false">
      <c r="B7" s="3" t="s">
        <v>197</v>
      </c>
      <c r="C7" s="5" t="s">
        <v>121</v>
      </c>
      <c r="E7" s="43" t="n">
        <f aca="false">E5+E6</f>
        <v>6451.65</v>
      </c>
      <c r="F7" s="43" t="n">
        <f aca="false">F5+F6</f>
        <v>7260.62578476627</v>
      </c>
      <c r="G7" s="43" t="n">
        <f aca="false">G5+G6</f>
        <v>8178.74067016552</v>
      </c>
      <c r="H7" s="43" t="n">
        <f aca="false">H5+H6</f>
        <v>9160.79318110365</v>
      </c>
      <c r="I7" s="43" t="n">
        <f aca="false">I5+I6</f>
        <v>10203.2914760386</v>
      </c>
      <c r="J7" s="43" t="n">
        <f aca="false">J5+J6</f>
        <v>11301.4097232483</v>
      </c>
      <c r="K7" s="43" t="n">
        <f aca="false">K5+K6</f>
        <v>12448.977056958</v>
      </c>
      <c r="L7" s="43" t="n">
        <f aca="false">L5+L6</f>
        <v>13638.5084720152</v>
      </c>
    </row>
    <row r="8" customFormat="false" ht="15" hidden="false" customHeight="true" outlineLevel="0" collapsed="false">
      <c r="B8" s="7" t="s">
        <v>203</v>
      </c>
      <c r="C8" s="5" t="s">
        <v>121</v>
      </c>
      <c r="E8" s="27" t="n">
        <f aca="false">-'2_Operating_Build'!E66</f>
        <v>-1544.45</v>
      </c>
      <c r="F8" s="27" t="n">
        <f aca="false">-'2_Operating_Build'!F66</f>
        <v>-1627.16516767379</v>
      </c>
      <c r="G8" s="27" t="n">
        <f aca="false">-'2_Operating_Build'!G66</f>
        <v>-1714.51357384948</v>
      </c>
      <c r="H8" s="27" t="n">
        <f aca="false">-'2_Operating_Build'!H66</f>
        <v>-1794.97489346285</v>
      </c>
      <c r="I8" s="27" t="n">
        <f aca="false">-'2_Operating_Build'!I66</f>
        <v>-1950.42349257434</v>
      </c>
      <c r="J8" s="27" t="n">
        <f aca="false">-'2_Operating_Build'!J66</f>
        <v>-2109.19559454979</v>
      </c>
      <c r="K8" s="27" t="n">
        <f aca="false">-'2_Operating_Build'!K66</f>
        <v>-2269.93996863482</v>
      </c>
      <c r="L8" s="27" t="n">
        <f aca="false">-'2_Operating_Build'!L66</f>
        <v>-2431.17785524223</v>
      </c>
    </row>
    <row r="9" customFormat="false" ht="15" hidden="false" customHeight="true" outlineLevel="0" collapsed="false">
      <c r="B9" s="7" t="s">
        <v>204</v>
      </c>
      <c r="C9" s="5" t="s">
        <v>121</v>
      </c>
      <c r="E9" s="27" t="n">
        <f aca="false">-'2_Operating_Build'!E67</f>
        <v>-1544.45</v>
      </c>
      <c r="F9" s="27" t="n">
        <f aca="false">-'2_Operating_Build'!F67</f>
        <v>-1627.16516767379</v>
      </c>
      <c r="G9" s="27" t="n">
        <f aca="false">-'2_Operating_Build'!G67</f>
        <v>-1714.51357384948</v>
      </c>
      <c r="H9" s="27" t="n">
        <f aca="false">-'2_Operating_Build'!H67</f>
        <v>-1794.97489346285</v>
      </c>
      <c r="I9" s="27" t="n">
        <f aca="false">-'2_Operating_Build'!I67</f>
        <v>-1950.42349257434</v>
      </c>
      <c r="J9" s="27" t="n">
        <f aca="false">-'2_Operating_Build'!J67</f>
        <v>-2109.19559454979</v>
      </c>
      <c r="K9" s="27" t="n">
        <f aca="false">-'2_Operating_Build'!K67</f>
        <v>-2269.93996863482</v>
      </c>
      <c r="L9" s="27" t="n">
        <f aca="false">-'2_Operating_Build'!L67</f>
        <v>-2431.17785524223</v>
      </c>
    </row>
    <row r="10" customFormat="false" ht="15" hidden="false" customHeight="true" outlineLevel="0" collapsed="false">
      <c r="B10" s="7" t="s">
        <v>205</v>
      </c>
      <c r="C10" s="5" t="s">
        <v>121</v>
      </c>
      <c r="E10" s="27" t="n">
        <f aca="false">-'2_Operating_Build'!E68</f>
        <v>-527.85</v>
      </c>
      <c r="F10" s="27" t="n">
        <f aca="false">-'2_Operating_Build'!F68</f>
        <v>-563.798457220305</v>
      </c>
      <c r="G10" s="27" t="n">
        <f aca="false">-'2_Operating_Build'!G68</f>
        <v>-602.819841033835</v>
      </c>
      <c r="H10" s="27" t="n">
        <f aca="false">-'2_Operating_Build'!H68</f>
        <v>-641.062461951018</v>
      </c>
      <c r="I10" s="27" t="n">
        <f aca="false">-'2_Operating_Build'!I68</f>
        <v>-696.579818776552</v>
      </c>
      <c r="J10" s="27" t="n">
        <f aca="false">-'2_Operating_Build'!J68</f>
        <v>-753.284140910638</v>
      </c>
      <c r="K10" s="27" t="n">
        <f aca="false">-'2_Operating_Build'!K68</f>
        <v>-810.692845941006</v>
      </c>
      <c r="L10" s="27" t="n">
        <f aca="false">-'2_Operating_Build'!L68</f>
        <v>-868.277805443652</v>
      </c>
    </row>
    <row r="11" customFormat="false" ht="15" hidden="false" customHeight="true" outlineLevel="0" collapsed="false">
      <c r="B11" s="3" t="s">
        <v>207</v>
      </c>
      <c r="C11" s="5" t="s">
        <v>121</v>
      </c>
      <c r="E11" s="43" t="n">
        <f aca="false">SUM(E7:E10)</f>
        <v>2834.9</v>
      </c>
      <c r="F11" s="43" t="n">
        <f aca="false">SUM(F7:F10)</f>
        <v>3442.49699219838</v>
      </c>
      <c r="G11" s="43" t="n">
        <f aca="false">SUM(G7:G10)</f>
        <v>4146.89368143272</v>
      </c>
      <c r="H11" s="43" t="n">
        <f aca="false">SUM(H7:H10)</f>
        <v>4929.78093222693</v>
      </c>
      <c r="I11" s="43" t="n">
        <f aca="false">SUM(I7:I10)</f>
        <v>5605.86467211336</v>
      </c>
      <c r="J11" s="43" t="n">
        <f aca="false">SUM(J7:J10)</f>
        <v>6329.73439323806</v>
      </c>
      <c r="K11" s="43" t="n">
        <f aca="false">SUM(K7:K10)</f>
        <v>7098.40427374739</v>
      </c>
      <c r="L11" s="43" t="n">
        <f aca="false">SUM(L7:L10)</f>
        <v>7907.87495608713</v>
      </c>
    </row>
    <row r="12" customFormat="false" ht="15" hidden="false" customHeight="true" outlineLevel="0" collapsed="false">
      <c r="B12" s="7" t="s">
        <v>228</v>
      </c>
      <c r="C12" s="5" t="s">
        <v>121</v>
      </c>
      <c r="F12" s="27" t="n">
        <f aca="false">-'4_Debt_Schedule'!F56</f>
        <v>-1272.255</v>
      </c>
      <c r="G12" s="27" t="n">
        <f aca="false">-'4_Debt_Schedule'!G56</f>
        <v>-1119.26479970914</v>
      </c>
      <c r="H12" s="27" t="n">
        <f aca="false">-'4_Debt_Schedule'!H56</f>
        <v>-951.668777580694</v>
      </c>
      <c r="I12" s="27" t="n">
        <f aca="false">-'4_Debt_Schedule'!I56</f>
        <v>-725.157422623906</v>
      </c>
      <c r="J12" s="27" t="n">
        <f aca="false">-'4_Debt_Schedule'!J56</f>
        <v>-532.125</v>
      </c>
      <c r="K12" s="27" t="n">
        <f aca="false">-'4_Debt_Schedule'!K56</f>
        <v>-532.125</v>
      </c>
      <c r="L12" s="27" t="n">
        <f aca="false">-'4_Debt_Schedule'!L56</f>
        <v>-532.125</v>
      </c>
    </row>
    <row r="13" customFormat="false" ht="15" hidden="false" customHeight="true" outlineLevel="0" collapsed="false">
      <c r="B13" s="7" t="s">
        <v>229</v>
      </c>
      <c r="C13" s="5" t="s">
        <v>121</v>
      </c>
      <c r="F13" s="27" t="n">
        <f aca="false">'4_Debt_Schedule'!F57</f>
        <v>47.76</v>
      </c>
      <c r="G13" s="27" t="n">
        <f aca="false">'4_Debt_Schedule'!G57</f>
        <v>30</v>
      </c>
      <c r="H13" s="27" t="n">
        <f aca="false">'4_Debt_Schedule'!H57</f>
        <v>30</v>
      </c>
      <c r="I13" s="27" t="n">
        <f aca="false">'4_Debt_Schedule'!I57</f>
        <v>30</v>
      </c>
      <c r="J13" s="27" t="n">
        <f aca="false">'4_Debt_Schedule'!J57</f>
        <v>56.8191119409518</v>
      </c>
      <c r="K13" s="27" t="n">
        <f aca="false">'4_Debt_Schedule'!K57</f>
        <v>158.775278721331</v>
      </c>
      <c r="L13" s="27" t="n">
        <f aca="false">'4_Debt_Schedule'!L57</f>
        <v>274.360417773599</v>
      </c>
    </row>
    <row r="14" customFormat="false" ht="15" hidden="false" customHeight="true" outlineLevel="0" collapsed="false">
      <c r="B14" s="7" t="s">
        <v>230</v>
      </c>
      <c r="C14" s="5" t="s">
        <v>121</v>
      </c>
      <c r="F14" s="27" t="n">
        <f aca="false">-'4_Debt_Schedule'!F58</f>
        <v>-69.4571428571429</v>
      </c>
      <c r="G14" s="27" t="n">
        <f aca="false">-'4_Debt_Schedule'!G58</f>
        <v>-69.4571428571429</v>
      </c>
      <c r="H14" s="27" t="n">
        <f aca="false">-'4_Debt_Schedule'!H58</f>
        <v>-69.4571428571429</v>
      </c>
      <c r="I14" s="27" t="n">
        <f aca="false">-'4_Debt_Schedule'!I58</f>
        <v>-69.4571428571429</v>
      </c>
      <c r="J14" s="27" t="n">
        <f aca="false">-'4_Debt_Schedule'!J58</f>
        <v>-69.4571428571429</v>
      </c>
      <c r="K14" s="27" t="n">
        <f aca="false">-'4_Debt_Schedule'!K58</f>
        <v>-69.4571428571429</v>
      </c>
      <c r="L14" s="27" t="n">
        <f aca="false">-'4_Debt_Schedule'!L58</f>
        <v>-69.4571428571429</v>
      </c>
    </row>
    <row r="15" customFormat="false" ht="15" hidden="false" customHeight="true" outlineLevel="0" collapsed="false">
      <c r="B15" s="3" t="s">
        <v>231</v>
      </c>
      <c r="C15" s="5" t="s">
        <v>121</v>
      </c>
      <c r="F15" s="43" t="n">
        <f aca="false">F11+F12+F13+F14</f>
        <v>2148.54484934124</v>
      </c>
      <c r="G15" s="43" t="n">
        <f aca="false">G11+G12+G13+G14</f>
        <v>2988.17173886643</v>
      </c>
      <c r="H15" s="43" t="n">
        <f aca="false">H11+H12+H13+H14</f>
        <v>3938.65501178909</v>
      </c>
      <c r="I15" s="43" t="n">
        <f aca="false">I11+I12+I13+I14</f>
        <v>4841.25010663232</v>
      </c>
      <c r="J15" s="43" t="n">
        <f aca="false">J11+J12+J13+J14</f>
        <v>5784.97136232187</v>
      </c>
      <c r="K15" s="43" t="n">
        <f aca="false">K11+K12+K13+K14</f>
        <v>6655.59740961157</v>
      </c>
      <c r="L15" s="43" t="n">
        <f aca="false">L11+L12+L13+L14</f>
        <v>7580.65323100359</v>
      </c>
    </row>
    <row r="17" customFormat="false" ht="15" hidden="false" customHeight="true" outlineLevel="0" collapsed="false">
      <c r="B17" s="7" t="s">
        <v>232</v>
      </c>
      <c r="C17" s="5" t="s">
        <v>121</v>
      </c>
      <c r="F17" s="41" t="n">
        <f aca="false">-(F12+F13+F14)</f>
        <v>1293.95214285714</v>
      </c>
      <c r="G17" s="41" t="n">
        <f aca="false">-(G12+G13+G14)</f>
        <v>1158.72194256629</v>
      </c>
      <c r="H17" s="41" t="n">
        <f aca="false">-(H12+H13+H14)</f>
        <v>991.125920437837</v>
      </c>
      <c r="I17" s="41" t="n">
        <f aca="false">-(I12+I13+I14)</f>
        <v>764.614565481049</v>
      </c>
      <c r="J17" s="41" t="n">
        <f aca="false">-(J12+J13+J14)</f>
        <v>544.763030916191</v>
      </c>
      <c r="K17" s="41" t="n">
        <f aca="false">-(K12+K13+K14)</f>
        <v>442.806864135812</v>
      </c>
      <c r="L17" s="41" t="n">
        <f aca="false">-(L12+L13+L14)</f>
        <v>327.221725083544</v>
      </c>
    </row>
    <row r="18" customFormat="false" ht="15" hidden="false" customHeight="true" outlineLevel="0" collapsed="false">
      <c r="B18" s="7" t="s">
        <v>233</v>
      </c>
      <c r="C18" s="5" t="s">
        <v>121</v>
      </c>
      <c r="F18" s="27" t="n">
        <f aca="false">MAX(3,'0_Dashboard_Toggles'!$C$19*'2_Operating_Build'!F79)</f>
        <v>1127.16749752059</v>
      </c>
      <c r="G18" s="27" t="n">
        <f aca="false">MAX(3,'0_Dashboard_Toggles'!$C$19*'2_Operating_Build'!G79)</f>
        <v>1347.64351348018</v>
      </c>
      <c r="H18" s="27" t="n">
        <f aca="false">MAX(3,'0_Dashboard_Toggles'!$C$19*'2_Operating_Build'!H79)</f>
        <v>1592.01769795624</v>
      </c>
      <c r="I18" s="27" t="n">
        <f aca="false">MAX(3,'0_Dashboard_Toggles'!$C$19*'2_Operating_Build'!I79)</f>
        <v>1804.63608166619</v>
      </c>
      <c r="J18" s="27" t="n">
        <f aca="false">MAX(3,'0_Dashboard_Toggles'!$C$19*'2_Operating_Build'!J79)</f>
        <v>2031.79964042806</v>
      </c>
      <c r="K18" s="27" t="n">
        <f aca="false">MAX(3,'0_Dashboard_Toggles'!$C$19*'2_Operating_Build'!K79)</f>
        <v>2272.52750014821</v>
      </c>
      <c r="L18" s="27" t="n">
        <f aca="false">MAX(3,'0_Dashboard_Toggles'!$C$19*'2_Operating_Build'!L79)</f>
        <v>2525.5266917064</v>
      </c>
    </row>
    <row r="19" customFormat="false" ht="15" hidden="false" customHeight="true" outlineLevel="0" collapsed="false">
      <c r="B19" s="7" t="s">
        <v>234</v>
      </c>
      <c r="C19" s="5" t="s">
        <v>121</v>
      </c>
      <c r="F19" s="41" t="n">
        <f aca="false">E21</f>
        <v>0</v>
      </c>
      <c r="G19" s="41" t="n">
        <f aca="false">F21</f>
        <v>166.784645336556</v>
      </c>
      <c r="H19" s="41" t="n">
        <f aca="false">G21</f>
        <v>0</v>
      </c>
      <c r="I19" s="41" t="n">
        <f aca="false">H21</f>
        <v>0</v>
      </c>
      <c r="J19" s="41" t="n">
        <f aca="false">I21</f>
        <v>0</v>
      </c>
      <c r="K19" s="41" t="n">
        <f aca="false">J21</f>
        <v>0</v>
      </c>
      <c r="L19" s="41" t="n">
        <f aca="false">K21</f>
        <v>0</v>
      </c>
    </row>
    <row r="20" customFormat="false" ht="15" hidden="false" customHeight="true" outlineLevel="0" collapsed="false">
      <c r="B20" s="7" t="s">
        <v>235</v>
      </c>
      <c r="C20" s="5" t="s">
        <v>121</v>
      </c>
      <c r="F20" s="41" t="n">
        <f aca="false">MIN(F17+F19,F18)</f>
        <v>1127.16749752059</v>
      </c>
      <c r="G20" s="41" t="n">
        <f aca="false">MIN(G17+G19,G18)</f>
        <v>1325.50658790284</v>
      </c>
      <c r="H20" s="41" t="n">
        <f aca="false">MIN(H17+H19,H18)</f>
        <v>991.125920437837</v>
      </c>
      <c r="I20" s="41" t="n">
        <f aca="false">MIN(I17+I19,I18)</f>
        <v>764.614565481049</v>
      </c>
      <c r="J20" s="41" t="n">
        <f aca="false">MIN(J17+J19,J18)</f>
        <v>544.763030916191</v>
      </c>
      <c r="K20" s="41" t="n">
        <f aca="false">MIN(K17+K19,K18)</f>
        <v>442.806864135812</v>
      </c>
      <c r="L20" s="41" t="n">
        <f aca="false">MIN(L17+L19,L18)</f>
        <v>327.221725083544</v>
      </c>
    </row>
    <row r="21" customFormat="false" ht="15" hidden="false" customHeight="true" outlineLevel="0" collapsed="false">
      <c r="B21" s="7" t="s">
        <v>236</v>
      </c>
      <c r="C21" s="5" t="s">
        <v>121</v>
      </c>
      <c r="E21" s="44" t="n">
        <v>0</v>
      </c>
      <c r="F21" s="41" t="n">
        <f aca="false">F19+F17-F20</f>
        <v>166.784645336556</v>
      </c>
      <c r="G21" s="41" t="n">
        <f aca="false">G19+G17-G20</f>
        <v>0</v>
      </c>
      <c r="H21" s="41" t="n">
        <f aca="false">H19+H17-H20</f>
        <v>0</v>
      </c>
      <c r="I21" s="41" t="n">
        <f aca="false">I19+I17-I20</f>
        <v>0</v>
      </c>
      <c r="J21" s="41" t="n">
        <f aca="false">J19+J17-J20</f>
        <v>0</v>
      </c>
      <c r="K21" s="41" t="n">
        <f aca="false">K19+K17-K20</f>
        <v>0</v>
      </c>
      <c r="L21" s="41" t="n">
        <f aca="false">L19+L17-L20</f>
        <v>0</v>
      </c>
    </row>
    <row r="22" customFormat="false" ht="15" hidden="false" customHeight="true" outlineLevel="0" collapsed="false">
      <c r="B22" s="7" t="s">
        <v>237</v>
      </c>
      <c r="C22" s="5" t="s">
        <v>121</v>
      </c>
      <c r="F22" s="41" t="n">
        <f aca="false">F11-F20</f>
        <v>2315.3294946778</v>
      </c>
      <c r="G22" s="41" t="n">
        <f aca="false">G11-G20</f>
        <v>2821.38709352988</v>
      </c>
      <c r="H22" s="41" t="n">
        <f aca="false">H11-H20</f>
        <v>3938.65501178909</v>
      </c>
      <c r="I22" s="41" t="n">
        <f aca="false">I11-I20</f>
        <v>4841.25010663232</v>
      </c>
      <c r="J22" s="41" t="n">
        <f aca="false">J11-J20</f>
        <v>5784.97136232187</v>
      </c>
      <c r="K22" s="41" t="n">
        <f aca="false">K11-K20</f>
        <v>6655.59740961157</v>
      </c>
      <c r="L22" s="41" t="n">
        <f aca="false">L11-L20</f>
        <v>7580.65323100359</v>
      </c>
    </row>
    <row r="23" customFormat="false" ht="15" hidden="false" customHeight="true" outlineLevel="0" collapsed="false">
      <c r="B23" s="7" t="s">
        <v>238</v>
      </c>
      <c r="C23" s="5" t="s">
        <v>121</v>
      </c>
      <c r="F23" s="27" t="n">
        <f aca="false">-MAX(0,F22)*'0_Dashboard_Toggles'!$C$18</f>
        <v>-577.443175972643</v>
      </c>
      <c r="G23" s="27" t="n">
        <f aca="false">-MAX(0,G22)*'0_Dashboard_Toggles'!$C$18</f>
        <v>-703.653941126352</v>
      </c>
      <c r="H23" s="27" t="n">
        <f aca="false">-MAX(0,H22)*'0_Dashboard_Toggles'!$C$18</f>
        <v>-982.300559940199</v>
      </c>
      <c r="I23" s="27" t="n">
        <f aca="false">-MAX(0,I22)*'0_Dashboard_Toggles'!$C$18</f>
        <v>-1207.4077765941</v>
      </c>
      <c r="J23" s="27" t="n">
        <f aca="false">-MAX(0,J22)*'0_Dashboard_Toggles'!$C$18</f>
        <v>-1442.77185776308</v>
      </c>
      <c r="K23" s="27" t="n">
        <f aca="false">-MAX(0,K22)*'0_Dashboard_Toggles'!$C$18</f>
        <v>-1659.90599395713</v>
      </c>
      <c r="L23" s="27" t="n">
        <f aca="false">-MAX(0,L22)*'0_Dashboard_Toggles'!$C$18</f>
        <v>-1890.61491581229</v>
      </c>
    </row>
    <row r="24" customFormat="false" ht="15" hidden="false" customHeight="true" outlineLevel="0" collapsed="false">
      <c r="B24" s="7" t="s">
        <v>239</v>
      </c>
      <c r="C24" s="5" t="s">
        <v>121</v>
      </c>
      <c r="F24" s="41" t="n">
        <f aca="false">-MAX(0,0.15*F22+F23)</f>
        <v>-0</v>
      </c>
      <c r="G24" s="41" t="n">
        <f aca="false">-MAX(0,0.15*G22+G23)</f>
        <v>-0</v>
      </c>
      <c r="H24" s="41" t="n">
        <f aca="false">-MAX(0,0.15*H22+H23)</f>
        <v>-0</v>
      </c>
      <c r="I24" s="41" t="n">
        <f aca="false">-MAX(0,0.15*I22+I23)</f>
        <v>-0</v>
      </c>
      <c r="J24" s="41" t="n">
        <f aca="false">-MAX(0,0.15*J22+J23)</f>
        <v>-0</v>
      </c>
      <c r="K24" s="41" t="n">
        <f aca="false">-MAX(0,0.15*K22+K23)</f>
        <v>-0</v>
      </c>
      <c r="L24" s="41" t="n">
        <f aca="false">-MAX(0,0.15*L22+L23)</f>
        <v>-0</v>
      </c>
    </row>
    <row r="25" customFormat="false" ht="15" hidden="false" customHeight="true" outlineLevel="0" collapsed="false">
      <c r="B25" s="3" t="s">
        <v>240</v>
      </c>
      <c r="C25" s="5" t="s">
        <v>121</v>
      </c>
      <c r="F25" s="43" t="n">
        <f aca="false">F15+F23+F24</f>
        <v>1571.1016733686</v>
      </c>
      <c r="G25" s="43" t="n">
        <f aca="false">G15+G23+G24</f>
        <v>2284.51779774008</v>
      </c>
      <c r="H25" s="43" t="n">
        <f aca="false">H15+H23+H24</f>
        <v>2956.35445184889</v>
      </c>
      <c r="I25" s="43" t="n">
        <f aca="false">I15+I23+I24</f>
        <v>3633.84233003822</v>
      </c>
      <c r="J25" s="43" t="n">
        <f aca="false">J15+J23+J24</f>
        <v>4342.1995045588</v>
      </c>
      <c r="K25" s="43" t="n">
        <f aca="false">K15+K23+K24</f>
        <v>4995.69141565445</v>
      </c>
      <c r="L25" s="43" t="n">
        <f aca="false">L15+L23+L24</f>
        <v>5690.03831519129</v>
      </c>
    </row>
    <row r="27" customFormat="false" ht="15" hidden="false" customHeight="true" outlineLevel="0" collapsed="false">
      <c r="B27" s="6" t="s">
        <v>241</v>
      </c>
      <c r="C27" s="6"/>
      <c r="D27" s="6"/>
      <c r="E27" s="6"/>
      <c r="F27" s="6"/>
      <c r="G27" s="6"/>
      <c r="H27" s="6"/>
      <c r="I27" s="6"/>
      <c r="J27" s="6"/>
      <c r="K27" s="6"/>
      <c r="L27" s="6"/>
    </row>
    <row r="28" customFormat="false" ht="15" hidden="false" customHeight="true" outlineLevel="0" collapsed="false">
      <c r="B28" s="7" t="s">
        <v>240</v>
      </c>
      <c r="C28" s="5" t="s">
        <v>121</v>
      </c>
      <c r="F28" s="41" t="n">
        <f aca="false">F25</f>
        <v>1571.1016733686</v>
      </c>
      <c r="G28" s="41" t="n">
        <f aca="false">G25</f>
        <v>2284.51779774008</v>
      </c>
      <c r="H28" s="41" t="n">
        <f aca="false">H25</f>
        <v>2956.35445184889</v>
      </c>
      <c r="I28" s="41" t="n">
        <f aca="false">I25</f>
        <v>3633.84233003822</v>
      </c>
      <c r="J28" s="41" t="n">
        <f aca="false">J25</f>
        <v>4342.1995045588</v>
      </c>
      <c r="K28" s="41" t="n">
        <f aca="false">K25</f>
        <v>4995.69141565445</v>
      </c>
      <c r="L28" s="41" t="n">
        <f aca="false">L25</f>
        <v>5690.03831519129</v>
      </c>
    </row>
    <row r="29" customFormat="false" ht="15" hidden="false" customHeight="true" outlineLevel="0" collapsed="false">
      <c r="B29" s="7" t="s">
        <v>242</v>
      </c>
      <c r="C29" s="5" t="s">
        <v>121</v>
      </c>
      <c r="F29" s="27" t="n">
        <f aca="false">'2_Operating_Build'!F74</f>
        <v>139.165441972101</v>
      </c>
      <c r="G29" s="27" t="n">
        <f aca="false">'2_Operating_Build'!G74</f>
        <v>152.662167534543</v>
      </c>
      <c r="H29" s="27" t="n">
        <f aca="false">'2_Operating_Build'!H74</f>
        <v>166.676240107265</v>
      </c>
      <c r="I29" s="27" t="n">
        <f aca="false">'2_Operating_Build'!I74</f>
        <v>181.110752881903</v>
      </c>
      <c r="J29" s="27" t="n">
        <f aca="false">'2_Operating_Build'!J74</f>
        <v>195.853876636766</v>
      </c>
      <c r="K29" s="27" t="n">
        <f aca="false">'2_Operating_Build'!K74</f>
        <v>210.780139944662</v>
      </c>
      <c r="L29" s="27" t="n">
        <f aca="false">'2_Operating_Build'!L74</f>
        <v>225.75222941535</v>
      </c>
    </row>
    <row r="30" customFormat="false" ht="15" hidden="false" customHeight="true" outlineLevel="0" collapsed="false">
      <c r="B30" s="7" t="s">
        <v>215</v>
      </c>
      <c r="C30" s="5" t="s">
        <v>121</v>
      </c>
      <c r="F30" s="27" t="n">
        <f aca="false">'2_Operating_Build'!F78</f>
        <v>175.562557564804</v>
      </c>
      <c r="G30" s="27" t="n">
        <f aca="false">'2_Operating_Build'!G78</f>
        <v>192.589195966654</v>
      </c>
      <c r="H30" s="27" t="n">
        <f aca="false">'2_Operating_Build'!H78</f>
        <v>210.268487519934</v>
      </c>
      <c r="I30" s="27" t="n">
        <f aca="false">'2_Operating_Build'!I78</f>
        <v>228.478180558709</v>
      </c>
      <c r="J30" s="27" t="n">
        <f aca="false">'2_Operating_Build'!J78</f>
        <v>247.077198218689</v>
      </c>
      <c r="K30" s="27" t="n">
        <f aca="false">'2_Operating_Build'!K78</f>
        <v>265.90725346865</v>
      </c>
      <c r="L30" s="27" t="n">
        <f aca="false">'2_Operating_Build'!L78</f>
        <v>284.795120185518</v>
      </c>
    </row>
    <row r="31" customFormat="false" ht="15" hidden="false" customHeight="true" outlineLevel="0" collapsed="false">
      <c r="B31" s="7" t="s">
        <v>243</v>
      </c>
      <c r="C31" s="5" t="s">
        <v>121</v>
      </c>
      <c r="F31" s="41" t="n">
        <f aca="false">-F14</f>
        <v>69.4571428571429</v>
      </c>
      <c r="G31" s="41" t="n">
        <f aca="false">-G14</f>
        <v>69.4571428571429</v>
      </c>
      <c r="H31" s="41" t="n">
        <f aca="false">-H14</f>
        <v>69.4571428571429</v>
      </c>
      <c r="I31" s="41" t="n">
        <f aca="false">-I14</f>
        <v>69.4571428571429</v>
      </c>
      <c r="J31" s="41" t="n">
        <f aca="false">-J14</f>
        <v>69.4571428571429</v>
      </c>
      <c r="K31" s="41" t="n">
        <f aca="false">-K14</f>
        <v>69.4571428571429</v>
      </c>
      <c r="L31" s="41" t="n">
        <f aca="false">-L14</f>
        <v>69.4571428571429</v>
      </c>
    </row>
    <row r="32" customFormat="false" ht="15" hidden="false" customHeight="true" outlineLevel="0" collapsed="false">
      <c r="B32" s="7" t="s">
        <v>244</v>
      </c>
      <c r="C32" s="5" t="s">
        <v>121</v>
      </c>
      <c r="F32" s="27" t="n">
        <f aca="false">-('2_Operating_Build'!F85-'2_Operating_Build'!E85)</f>
        <v>367.161247848407</v>
      </c>
      <c r="G32" s="27" t="n">
        <f aca="false">-('2_Operating_Build'!G85-'2_Operating_Build'!F85)</f>
        <v>409.867117414627</v>
      </c>
      <c r="H32" s="27" t="n">
        <f aca="false">-('2_Operating_Build'!H85-'2_Operating_Build'!G85)</f>
        <v>425.577856054572</v>
      </c>
      <c r="I32" s="27" t="n">
        <f aca="false">-('2_Operating_Build'!I85-'2_Operating_Build'!H85)</f>
        <v>438.345739109428</v>
      </c>
      <c r="J32" s="27" t="n">
        <f aca="false">-('2_Operating_Build'!J85-'2_Operating_Build'!I85)</f>
        <v>447.717604328263</v>
      </c>
      <c r="K32" s="27" t="n">
        <f aca="false">-('2_Operating_Build'!K85-'2_Operating_Build'!J85)</f>
        <v>453.279166674559</v>
      </c>
      <c r="L32" s="27" t="n">
        <f aca="false">-('2_Operating_Build'!L85-'2_Operating_Build'!K85)</f>
        <v>454.670810681763</v>
      </c>
    </row>
    <row r="33" customFormat="false" ht="15" hidden="false" customHeight="true" outlineLevel="0" collapsed="false">
      <c r="B33" s="3" t="s">
        <v>245</v>
      </c>
      <c r="C33" s="5" t="s">
        <v>121</v>
      </c>
      <c r="F33" s="43" t="n">
        <f aca="false">SUM(F28:F32)</f>
        <v>2322.44806361105</v>
      </c>
      <c r="G33" s="43" t="n">
        <f aca="false">SUM(G28:G32)</f>
        <v>3109.09342151305</v>
      </c>
      <c r="H33" s="43" t="n">
        <f aca="false">SUM(H28:H32)</f>
        <v>3828.3341783878</v>
      </c>
      <c r="I33" s="43" t="n">
        <f aca="false">SUM(I28:I32)</f>
        <v>4551.2341454454</v>
      </c>
      <c r="J33" s="43" t="n">
        <f aca="false">SUM(J28:J32)</f>
        <v>5302.30532659966</v>
      </c>
      <c r="K33" s="43" t="n">
        <f aca="false">SUM(K28:K32)</f>
        <v>5995.11511859946</v>
      </c>
      <c r="L33" s="43" t="n">
        <f aca="false">SUM(L28:L32)</f>
        <v>6724.71361833107</v>
      </c>
    </row>
    <row r="34" customFormat="false" ht="15" hidden="false" customHeight="true" outlineLevel="0" collapsed="false">
      <c r="B34" s="7" t="s">
        <v>219</v>
      </c>
      <c r="C34" s="5" t="s">
        <v>121</v>
      </c>
      <c r="F34" s="27" t="n">
        <f aca="false">-'2_Operating_Build'!F83</f>
        <v>-96.345305980685</v>
      </c>
      <c r="G34" s="27" t="n">
        <f aca="false">-'2_Operating_Build'!G83</f>
        <v>-105.689192908529</v>
      </c>
      <c r="H34" s="27" t="n">
        <f aca="false">-'2_Operating_Build'!H83</f>
        <v>-115.391243151183</v>
      </c>
      <c r="I34" s="27" t="n">
        <f aca="false">-'2_Operating_Build'!I83</f>
        <v>-125.384367379779</v>
      </c>
      <c r="J34" s="27" t="n">
        <f aca="false">-'2_Operating_Build'!J83</f>
        <v>-135.591145363915</v>
      </c>
      <c r="K34" s="27" t="n">
        <f aca="false">-'2_Operating_Build'!K83</f>
        <v>-145.924712269381</v>
      </c>
      <c r="L34" s="27" t="n">
        <f aca="false">-'2_Operating_Build'!L83</f>
        <v>-156.290004979857</v>
      </c>
    </row>
    <row r="35" customFormat="false" ht="15" hidden="false" customHeight="true" outlineLevel="0" collapsed="false">
      <c r="B35" s="7" t="s">
        <v>246</v>
      </c>
      <c r="C35" s="5" t="s">
        <v>121</v>
      </c>
      <c r="F35" s="27" t="n">
        <f aca="false">-'4_Debt_Schedule'!F52</f>
        <v>-75.2</v>
      </c>
      <c r="G35" s="27" t="n">
        <f aca="false">-'4_Debt_Schedule'!G52</f>
        <v>-71.7320271982831</v>
      </c>
      <c r="H35" s="27" t="n">
        <f aca="false">-'4_Debt_Schedule'!H52</f>
        <v>-69.6494977717605</v>
      </c>
      <c r="I35" s="27" t="n">
        <f aca="false">-'4_Debt_Schedule'!I52</f>
        <v>-68.7625775194951</v>
      </c>
      <c r="J35" s="27" t="n">
        <f aca="false">-'4_Debt_Schedule'!J52</f>
        <v>-68.9058422168007</v>
      </c>
      <c r="K35" s="27" t="n">
        <f aca="false">-'4_Debt_Schedule'!K52</f>
        <v>-69.9334537166828</v>
      </c>
      <c r="L35" s="27" t="n">
        <f aca="false">-'4_Debt_Schedule'!L52</f>
        <v>-71.7151866570696</v>
      </c>
    </row>
    <row r="36" customFormat="false" ht="15" hidden="false" customHeight="true" outlineLevel="0" collapsed="false">
      <c r="B36" s="3" t="s">
        <v>247</v>
      </c>
      <c r="C36" s="5" t="s">
        <v>121</v>
      </c>
      <c r="F36" s="61" t="n">
        <f aca="false">F33+F34+F35</f>
        <v>2150.90275763037</v>
      </c>
      <c r="G36" s="61" t="n">
        <f aca="false">G33+G34+G35</f>
        <v>2931.67220140624</v>
      </c>
      <c r="H36" s="61" t="n">
        <f aca="false">H33+H34+H35</f>
        <v>3643.29343746486</v>
      </c>
      <c r="I36" s="61" t="n">
        <f aca="false">I33+I34+I35</f>
        <v>4357.08720054613</v>
      </c>
      <c r="J36" s="61" t="n">
        <f aca="false">J33+J34+J35</f>
        <v>5097.80833901895</v>
      </c>
      <c r="K36" s="61" t="n">
        <f aca="false">K33+K34+K35</f>
        <v>5779.2569526134</v>
      </c>
      <c r="L36" s="61" t="n">
        <f aca="false">L33+L34+L35</f>
        <v>6496.70842669414</v>
      </c>
    </row>
    <row r="37" customFormat="false" ht="15" hidden="false" customHeight="true" outlineLevel="0" collapsed="false">
      <c r="B37" s="7" t="s">
        <v>248</v>
      </c>
      <c r="F37" s="27" t="n">
        <f aca="false">'4_Debt_Schedule'!F84-'4_Debt_Schedule'!F87-'4_Debt_Schedule'!F89</f>
        <v>0</v>
      </c>
      <c r="G37" s="27" t="n">
        <f aca="false">'4_Debt_Schedule'!G84-'4_Debt_Schedule'!G87-'4_Debt_Schedule'!G89</f>
        <v>0</v>
      </c>
      <c r="H37" s="27" t="n">
        <f aca="false">'4_Debt_Schedule'!H84-'4_Debt_Schedule'!H87-'4_Debt_Schedule'!H89</f>
        <v>0</v>
      </c>
      <c r="I37" s="27" t="n">
        <f aca="false">'4_Debt_Schedule'!I84-'4_Debt_Schedule'!I87-'4_Debt_Schedule'!I89</f>
        <v>0</v>
      </c>
      <c r="J37" s="27" t="n">
        <f aca="false">'4_Debt_Schedule'!J84-'4_Debt_Schedule'!J87-'4_Debt_Schedule'!J89</f>
        <v>0</v>
      </c>
      <c r="K37" s="27" t="n">
        <f aca="false">'4_Debt_Schedule'!K84-'4_Debt_Schedule'!K87-'4_Debt_Schedule'!K89</f>
        <v>0</v>
      </c>
      <c r="L37" s="27" t="n">
        <f aca="false">'4_Debt_Schedule'!L84-'4_Debt_Schedule'!L87-'4_Debt_Schedule'!L89</f>
        <v>0</v>
      </c>
    </row>
    <row r="38" customFormat="false" ht="15" hidden="false" customHeight="true" outlineLevel="0" collapsed="false">
      <c r="B38" s="7" t="s">
        <v>249</v>
      </c>
      <c r="C38" s="5" t="s">
        <v>121</v>
      </c>
      <c r="F38" s="27" t="n">
        <f aca="false">-'4_Debt_Schedule'!F28</f>
        <v>-404</v>
      </c>
      <c r="G38" s="27" t="n">
        <f aca="false">-'4_Debt_Schedule'!G28</f>
        <v>-404</v>
      </c>
      <c r="H38" s="27" t="n">
        <f aca="false">-'4_Debt_Schedule'!H28</f>
        <v>-0</v>
      </c>
      <c r="I38" s="27" t="n">
        <f aca="false">-'4_Debt_Schedule'!I28</f>
        <v>-0</v>
      </c>
      <c r="J38" s="27" t="n">
        <f aca="false">-'4_Debt_Schedule'!J28</f>
        <v>-0</v>
      </c>
      <c r="K38" s="27" t="n">
        <f aca="false">-'4_Debt_Schedule'!K28</f>
        <v>-0</v>
      </c>
      <c r="L38" s="27" t="n">
        <f aca="false">-'4_Debt_Schedule'!L28</f>
        <v>-0</v>
      </c>
    </row>
    <row r="39" customFormat="false" ht="15" hidden="false" customHeight="true" outlineLevel="0" collapsed="false">
      <c r="B39" s="7" t="s">
        <v>250</v>
      </c>
      <c r="C39" s="5" t="s">
        <v>121</v>
      </c>
      <c r="F39" s="27" t="n">
        <f aca="false">-'4_Debt_Schedule'!F29</f>
        <v>-2634.90275763037</v>
      </c>
      <c r="G39" s="27" t="n">
        <f aca="false">-'4_Debt_Schedule'!G29</f>
        <v>-597.097242369633</v>
      </c>
      <c r="H39" s="27" t="n">
        <f aca="false">-'4_Debt_Schedule'!H29</f>
        <v>-0</v>
      </c>
      <c r="I39" s="27" t="n">
        <f aca="false">-'4_Debt_Schedule'!I29</f>
        <v>-0</v>
      </c>
      <c r="J39" s="27" t="n">
        <f aca="false">-'4_Debt_Schedule'!J29</f>
        <v>-0</v>
      </c>
      <c r="K39" s="27" t="n">
        <f aca="false">-'4_Debt_Schedule'!K29</f>
        <v>-0</v>
      </c>
      <c r="L39" s="27" t="n">
        <f aca="false">-'4_Debt_Schedule'!L29</f>
        <v>-0</v>
      </c>
    </row>
    <row r="40" customFormat="false" ht="15" hidden="false" customHeight="true" outlineLevel="0" collapsed="false">
      <c r="B40" s="7" t="s">
        <v>251</v>
      </c>
      <c r="C40" s="5" t="s">
        <v>121</v>
      </c>
      <c r="F40" s="27" t="n">
        <f aca="false">-'4_Debt_Schedule'!F35</f>
        <v>-0</v>
      </c>
      <c r="G40" s="27" t="n">
        <f aca="false">-'4_Debt_Schedule'!G35</f>
        <v>-1930.5749590366</v>
      </c>
      <c r="H40" s="27" t="n">
        <f aca="false">-'4_Debt_Schedule'!H35</f>
        <v>-3643.29343746486</v>
      </c>
      <c r="I40" s="27" t="n">
        <f aca="false">-'4_Debt_Schedule'!I35</f>
        <v>-3016.13160349854</v>
      </c>
      <c r="J40" s="27" t="n">
        <f aca="false">-'4_Debt_Schedule'!J35</f>
        <v>-0</v>
      </c>
      <c r="K40" s="27" t="n">
        <f aca="false">-'4_Debt_Schedule'!K35</f>
        <v>-0</v>
      </c>
      <c r="L40" s="27" t="n">
        <f aca="false">-'4_Debt_Schedule'!L35</f>
        <v>-0</v>
      </c>
    </row>
    <row r="41" customFormat="false" ht="15" hidden="false" customHeight="true" outlineLevel="0" collapsed="false">
      <c r="B41" s="7" t="s">
        <v>252</v>
      </c>
      <c r="C41" s="5" t="s">
        <v>121</v>
      </c>
      <c r="F41" s="27" t="n">
        <f aca="false">'4_Debt_Schedule'!F22</f>
        <v>-0</v>
      </c>
      <c r="G41" s="27" t="n">
        <f aca="false">'4_Debt_Schedule'!G22</f>
        <v>-0</v>
      </c>
      <c r="H41" s="27" t="n">
        <f aca="false">'4_Debt_Schedule'!H22</f>
        <v>-0</v>
      </c>
      <c r="I41" s="27" t="n">
        <f aca="false">'4_Debt_Schedule'!I22</f>
        <v>-0</v>
      </c>
      <c r="J41" s="27" t="n">
        <f aca="false">'4_Debt_Schedule'!J22</f>
        <v>-0</v>
      </c>
      <c r="K41" s="27" t="n">
        <f aca="false">'4_Debt_Schedule'!K22</f>
        <v>-0</v>
      </c>
      <c r="L41" s="27" t="n">
        <f aca="false">'4_Debt_Schedule'!L22</f>
        <v>-0</v>
      </c>
    </row>
    <row r="42" customFormat="false" ht="15" hidden="false" customHeight="true" outlineLevel="0" collapsed="false">
      <c r="B42" s="3" t="s">
        <v>253</v>
      </c>
      <c r="C42" s="5" t="s">
        <v>121</v>
      </c>
      <c r="F42" s="43" t="n">
        <f aca="false">F36+SUM(F38:F41)+F37</f>
        <v>-888</v>
      </c>
      <c r="G42" s="43" t="n">
        <f aca="false">G36+SUM(G38:G41)+G37</f>
        <v>0</v>
      </c>
      <c r="H42" s="43" t="n">
        <f aca="false">H36+SUM(H38:H41)+H37</f>
        <v>0</v>
      </c>
      <c r="I42" s="43" t="n">
        <f aca="false">I36+SUM(I38:I41)+I37</f>
        <v>1340.95559704759</v>
      </c>
      <c r="J42" s="43" t="n">
        <f aca="false">J36+SUM(J38:J41)+J37</f>
        <v>5097.80833901895</v>
      </c>
      <c r="K42" s="43" t="n">
        <f aca="false">K36+SUM(K38:K41)+K37</f>
        <v>5779.2569526134</v>
      </c>
      <c r="L42" s="43" t="n">
        <f aca="false">L36+SUM(L38:L41)+L37</f>
        <v>6496.70842669414</v>
      </c>
    </row>
    <row r="43" customFormat="false" ht="15" hidden="false" customHeight="true" outlineLevel="0" collapsed="false">
      <c r="B43" s="7" t="s">
        <v>254</v>
      </c>
      <c r="C43" s="5" t="s">
        <v>121</v>
      </c>
      <c r="F43" s="41" t="n">
        <f aca="false">E44</f>
        <v>2388</v>
      </c>
      <c r="G43" s="41" t="n">
        <f aca="false">F44</f>
        <v>1500</v>
      </c>
      <c r="H43" s="41" t="n">
        <f aca="false">G44</f>
        <v>1500</v>
      </c>
      <c r="I43" s="41" t="n">
        <f aca="false">H44</f>
        <v>1500</v>
      </c>
      <c r="J43" s="41" t="n">
        <f aca="false">I44</f>
        <v>2840.95559704759</v>
      </c>
      <c r="K43" s="41" t="n">
        <f aca="false">J44</f>
        <v>7938.76393606654</v>
      </c>
      <c r="L43" s="41" t="n">
        <f aca="false">K44</f>
        <v>13718.0208886799</v>
      </c>
    </row>
    <row r="44" customFormat="false" ht="15" hidden="false" customHeight="true" outlineLevel="0" collapsed="false">
      <c r="B44" s="3" t="s">
        <v>255</v>
      </c>
      <c r="C44" s="5" t="s">
        <v>121</v>
      </c>
      <c r="E44" s="47" t="n">
        <f aca="false">'1_Transaction_Summary'!F48</f>
        <v>2388</v>
      </c>
      <c r="F44" s="43" t="n">
        <f aca="false">F43+F42</f>
        <v>1500</v>
      </c>
      <c r="G44" s="43" t="n">
        <f aca="false">G43+G42</f>
        <v>1500</v>
      </c>
      <c r="H44" s="43" t="n">
        <f aca="false">H43+H42</f>
        <v>1500</v>
      </c>
      <c r="I44" s="43" t="n">
        <f aca="false">I43+I42</f>
        <v>2840.95559704759</v>
      </c>
      <c r="J44" s="43" t="n">
        <f aca="false">J43+J42</f>
        <v>7938.76393606654</v>
      </c>
      <c r="K44" s="43" t="n">
        <f aca="false">K43+K42</f>
        <v>13718.0208886799</v>
      </c>
      <c r="L44" s="43" t="n">
        <f aca="false">L43+L42</f>
        <v>20214.7293153741</v>
      </c>
    </row>
    <row r="46" customFormat="false" ht="15" hidden="false" customHeight="true" outlineLevel="0" collapsed="false">
      <c r="B46" s="6" t="s">
        <v>256</v>
      </c>
      <c r="C46" s="6"/>
      <c r="D46" s="6"/>
      <c r="E46" s="6"/>
      <c r="F46" s="6"/>
      <c r="G46" s="6"/>
      <c r="H46" s="6"/>
      <c r="I46" s="6"/>
      <c r="J46" s="6"/>
      <c r="K46" s="6"/>
      <c r="L46" s="6"/>
    </row>
    <row r="47" customFormat="false" ht="15" hidden="false" customHeight="true" outlineLevel="0" collapsed="false">
      <c r="B47" s="7" t="s">
        <v>257</v>
      </c>
      <c r="C47" s="5" t="s">
        <v>121</v>
      </c>
      <c r="E47" s="41" t="n">
        <f aca="false">E44</f>
        <v>2388</v>
      </c>
      <c r="F47" s="41" t="n">
        <f aca="false">F44</f>
        <v>1500</v>
      </c>
      <c r="G47" s="41" t="n">
        <f aca="false">G44</f>
        <v>1500</v>
      </c>
      <c r="H47" s="41" t="n">
        <f aca="false">H44</f>
        <v>1500</v>
      </c>
      <c r="I47" s="41" t="n">
        <f aca="false">I44</f>
        <v>2840.95559704759</v>
      </c>
      <c r="J47" s="41" t="n">
        <f aca="false">J44</f>
        <v>7938.76393606654</v>
      </c>
      <c r="K47" s="41" t="n">
        <f aca="false">K44</f>
        <v>13718.0208886799</v>
      </c>
      <c r="L47" s="41" t="n">
        <f aca="false">L44</f>
        <v>20214.7293153741</v>
      </c>
    </row>
    <row r="48" customFormat="false" ht="15" hidden="false" customHeight="true" outlineLevel="0" collapsed="false">
      <c r="B48" s="7" t="s">
        <v>258</v>
      </c>
      <c r="C48" s="5" t="s">
        <v>121</v>
      </c>
      <c r="E48" s="27" t="n">
        <f aca="false">'2_Operating_Build'!E85</f>
        <v>-3859</v>
      </c>
      <c r="F48" s="27" t="n">
        <f aca="false">'2_Operating_Build'!F85</f>
        <v>-4226.16124784841</v>
      </c>
      <c r="G48" s="27" t="n">
        <f aca="false">'2_Operating_Build'!G85</f>
        <v>-4636.02836526303</v>
      </c>
      <c r="H48" s="27" t="n">
        <f aca="false">'2_Operating_Build'!H85</f>
        <v>-5061.60622131761</v>
      </c>
      <c r="I48" s="27" t="n">
        <f aca="false">'2_Operating_Build'!I85</f>
        <v>-5499.95196042703</v>
      </c>
      <c r="J48" s="27" t="n">
        <f aca="false">'2_Operating_Build'!J85</f>
        <v>-5947.6695647553</v>
      </c>
      <c r="K48" s="27" t="n">
        <f aca="false">'2_Operating_Build'!K85</f>
        <v>-6400.94873142986</v>
      </c>
      <c r="L48" s="27" t="n">
        <f aca="false">'2_Operating_Build'!L85</f>
        <v>-6855.61954211162</v>
      </c>
    </row>
    <row r="49" customFormat="false" ht="15" hidden="false" customHeight="true" outlineLevel="0" collapsed="false">
      <c r="B49" s="7" t="s">
        <v>259</v>
      </c>
      <c r="C49" s="5" t="s">
        <v>121</v>
      </c>
      <c r="E49" s="44" t="n">
        <v>418</v>
      </c>
      <c r="F49" s="27" t="n">
        <f aca="false">E49+'2_Operating_Build'!F83+'2_Operating_Build'!F87-'2_Operating_Build'!F74</f>
        <v>428.705033997854</v>
      </c>
      <c r="G49" s="27" t="n">
        <f aca="false">F49+'2_Operating_Build'!G83+'2_Operating_Build'!G87-'2_Operating_Build'!G74</f>
        <v>440.448277654357</v>
      </c>
      <c r="H49" s="27" t="n">
        <f aca="false">G49+'2_Operating_Build'!H83+'2_Operating_Build'!H87-'2_Operating_Build'!H74</f>
        <v>453.269526893377</v>
      </c>
      <c r="I49" s="27" t="n">
        <f aca="false">H49+'2_Operating_Build'!I83+'2_Operating_Build'!I87-'2_Operating_Build'!I74</f>
        <v>467.201123268908</v>
      </c>
      <c r="J49" s="27" t="n">
        <f aca="false">I49+'2_Operating_Build'!J83+'2_Operating_Build'!J87-'2_Operating_Build'!J74</f>
        <v>482.266806087121</v>
      </c>
      <c r="K49" s="27" t="n">
        <f aca="false">J49+'2_Operating_Build'!K83+'2_Operating_Build'!K87-'2_Operating_Build'!K74</f>
        <v>498.480663005941</v>
      </c>
      <c r="L49" s="27" t="n">
        <f aca="false">K49+'2_Operating_Build'!L83+'2_Operating_Build'!L87-'2_Operating_Build'!L74</f>
        <v>515.846219114814</v>
      </c>
    </row>
    <row r="50" customFormat="false" ht="15" hidden="false" customHeight="true" outlineLevel="0" collapsed="false">
      <c r="B50" s="7" t="s">
        <v>260</v>
      </c>
      <c r="C50" s="5" t="s">
        <v>121</v>
      </c>
      <c r="E50" s="44" t="n">
        <v>1118</v>
      </c>
      <c r="F50" s="41" t="n">
        <f aca="false">E50</f>
        <v>1118</v>
      </c>
      <c r="G50" s="41" t="n">
        <f aca="false">F50</f>
        <v>1118</v>
      </c>
      <c r="H50" s="41" t="n">
        <f aca="false">G50</f>
        <v>1118</v>
      </c>
      <c r="I50" s="41" t="n">
        <f aca="false">H50</f>
        <v>1118</v>
      </c>
      <c r="J50" s="41" t="n">
        <f aca="false">I50</f>
        <v>1118</v>
      </c>
      <c r="K50" s="41" t="n">
        <f aca="false">J50</f>
        <v>1118</v>
      </c>
      <c r="L50" s="41" t="n">
        <f aca="false">K50</f>
        <v>1118</v>
      </c>
    </row>
    <row r="51" customFormat="false" ht="15" hidden="false" customHeight="true" outlineLevel="0" collapsed="false">
      <c r="B51" s="7" t="s">
        <v>261</v>
      </c>
      <c r="C51" s="5" t="s">
        <v>121</v>
      </c>
      <c r="E51" s="44" t="n">
        <v>690</v>
      </c>
      <c r="F51" s="41" t="n">
        <f aca="false">E51</f>
        <v>690</v>
      </c>
      <c r="G51" s="41" t="n">
        <f aca="false">F51</f>
        <v>690</v>
      </c>
      <c r="H51" s="41" t="n">
        <f aca="false">G51</f>
        <v>690</v>
      </c>
      <c r="I51" s="41" t="n">
        <f aca="false">H51</f>
        <v>690</v>
      </c>
      <c r="J51" s="41" t="n">
        <f aca="false">I51</f>
        <v>690</v>
      </c>
      <c r="K51" s="41" t="n">
        <f aca="false">J51</f>
        <v>690</v>
      </c>
      <c r="L51" s="41" t="n">
        <f aca="false">K51</f>
        <v>690</v>
      </c>
    </row>
    <row r="52" customFormat="false" ht="15" hidden="false" customHeight="true" outlineLevel="0" collapsed="false">
      <c r="B52" s="7" t="s">
        <v>262</v>
      </c>
      <c r="C52" s="5" t="s">
        <v>121</v>
      </c>
      <c r="E52" s="41" t="n">
        <f aca="false">E64-SUM(E47:E51)-E53</f>
        <v>109667.946885395</v>
      </c>
      <c r="F52" s="41" t="n">
        <f aca="false">E52</f>
        <v>109667.946885395</v>
      </c>
      <c r="G52" s="41" t="n">
        <f aca="false">F52</f>
        <v>109667.946885395</v>
      </c>
      <c r="H52" s="41" t="n">
        <f aca="false">G52</f>
        <v>109667.946885395</v>
      </c>
      <c r="I52" s="41" t="n">
        <f aca="false">H52</f>
        <v>109667.946885395</v>
      </c>
      <c r="J52" s="41" t="n">
        <f aca="false">I52</f>
        <v>109667.946885395</v>
      </c>
      <c r="K52" s="41" t="n">
        <f aca="false">J52</f>
        <v>109667.946885395</v>
      </c>
      <c r="L52" s="41" t="n">
        <f aca="false">K52</f>
        <v>109667.946885395</v>
      </c>
    </row>
    <row r="53" customFormat="false" ht="15" hidden="false" customHeight="true" outlineLevel="0" collapsed="false">
      <c r="B53" s="7" t="s">
        <v>263</v>
      </c>
      <c r="C53" s="5" t="s">
        <v>121</v>
      </c>
      <c r="E53" s="27" t="n">
        <f aca="false">'1_Transaction_Summary'!C37+'1_Transaction_Summary'!C38</f>
        <v>486.2</v>
      </c>
      <c r="F53" s="41" t="n">
        <f aca="false">E53+F14</f>
        <v>416.742857142857</v>
      </c>
      <c r="G53" s="41" t="n">
        <f aca="false">F53+G14</f>
        <v>347.285714285714</v>
      </c>
      <c r="H53" s="41" t="n">
        <f aca="false">G53+H14</f>
        <v>277.828571428571</v>
      </c>
      <c r="I53" s="41" t="n">
        <f aca="false">H53+I14</f>
        <v>208.371428571429</v>
      </c>
      <c r="J53" s="41" t="n">
        <f aca="false">I53+J14</f>
        <v>138.914285714286</v>
      </c>
      <c r="K53" s="41" t="n">
        <f aca="false">J53+K14</f>
        <v>69.4571428571429</v>
      </c>
      <c r="L53" s="41" t="n">
        <f aca="false">K53+L14</f>
        <v>0</v>
      </c>
    </row>
    <row r="54" customFormat="false" ht="15" hidden="false" customHeight="true" outlineLevel="0" collapsed="false">
      <c r="B54" s="3" t="s">
        <v>264</v>
      </c>
      <c r="C54" s="5" t="s">
        <v>121</v>
      </c>
      <c r="E54" s="43" t="n">
        <f aca="false">SUM(E47:E53)</f>
        <v>110909.146885395</v>
      </c>
      <c r="F54" s="43" t="n">
        <f aca="false">SUM(F47:F53)</f>
        <v>109595.233528687</v>
      </c>
      <c r="G54" s="43" t="n">
        <f aca="false">SUM(G47:G53)</f>
        <v>109127.652512072</v>
      </c>
      <c r="H54" s="43" t="n">
        <f aca="false">SUM(H47:H53)</f>
        <v>108645.438762399</v>
      </c>
      <c r="I54" s="43" t="n">
        <f aca="false">SUM(I47:I53)</f>
        <v>109492.523073856</v>
      </c>
      <c r="J54" s="43" t="n">
        <f aca="false">SUM(J47:J53)</f>
        <v>114088.222348507</v>
      </c>
      <c r="K54" s="43" t="n">
        <f aca="false">SUM(K47:K53)</f>
        <v>119360.956848508</v>
      </c>
      <c r="L54" s="43" t="n">
        <f aca="false">SUM(L47:L53)</f>
        <v>125350.902877772</v>
      </c>
    </row>
    <row r="55" customFormat="false" ht="15" hidden="false" customHeight="true" outlineLevel="0" collapsed="false">
      <c r="B55" s="7" t="s">
        <v>265</v>
      </c>
      <c r="E55" s="27" t="n">
        <f aca="false">'4_Debt_Schedule'!E85</f>
        <v>0</v>
      </c>
      <c r="F55" s="27" t="n">
        <f aca="false">'4_Debt_Schedule'!F85</f>
        <v>0</v>
      </c>
      <c r="G55" s="27" t="n">
        <f aca="false">'4_Debt_Schedule'!G85</f>
        <v>0</v>
      </c>
      <c r="H55" s="27" t="n">
        <f aca="false">'4_Debt_Schedule'!H85</f>
        <v>0</v>
      </c>
      <c r="I55" s="27" t="n">
        <f aca="false">'4_Debt_Schedule'!I85</f>
        <v>0</v>
      </c>
      <c r="J55" s="27" t="n">
        <f aca="false">'4_Debt_Schedule'!J85</f>
        <v>0</v>
      </c>
      <c r="K55" s="27" t="n">
        <f aca="false">'4_Debt_Schedule'!K85</f>
        <v>0</v>
      </c>
      <c r="L55" s="27" t="n">
        <f aca="false">'4_Debt_Schedule'!L85</f>
        <v>0</v>
      </c>
    </row>
    <row r="56" customFormat="false" ht="15" hidden="false" customHeight="true" outlineLevel="0" collapsed="false">
      <c r="B56" s="7" t="s">
        <v>266</v>
      </c>
      <c r="C56" s="5" t="s">
        <v>121</v>
      </c>
      <c r="E56" s="27" t="n">
        <f aca="false">'4_Debt_Schedule'!E31</f>
        <v>4040</v>
      </c>
      <c r="F56" s="27" t="n">
        <f aca="false">'4_Debt_Schedule'!F31</f>
        <v>1001.09724236963</v>
      </c>
      <c r="G56" s="27" t="n">
        <f aca="false">'4_Debt_Schedule'!G31</f>
        <v>0</v>
      </c>
      <c r="H56" s="27" t="n">
        <f aca="false">'4_Debt_Schedule'!H31</f>
        <v>0</v>
      </c>
      <c r="I56" s="27" t="n">
        <f aca="false">'4_Debt_Schedule'!I31</f>
        <v>0</v>
      </c>
      <c r="J56" s="27" t="n">
        <f aca="false">'4_Debt_Schedule'!J31</f>
        <v>0</v>
      </c>
      <c r="K56" s="27" t="n">
        <f aca="false">'4_Debt_Schedule'!K31</f>
        <v>0</v>
      </c>
      <c r="L56" s="27" t="n">
        <f aca="false">'4_Debt_Schedule'!L31</f>
        <v>0</v>
      </c>
    </row>
    <row r="57" customFormat="false" ht="15" hidden="false" customHeight="true" outlineLevel="0" collapsed="false">
      <c r="B57" s="7" t="s">
        <v>267</v>
      </c>
      <c r="C57" s="5" t="s">
        <v>121</v>
      </c>
      <c r="E57" s="27" t="n">
        <f aca="false">'4_Debt_Schedule'!E36</f>
        <v>8590</v>
      </c>
      <c r="F57" s="27" t="n">
        <f aca="false">'4_Debt_Schedule'!F36</f>
        <v>8590</v>
      </c>
      <c r="G57" s="27" t="n">
        <f aca="false">'4_Debt_Schedule'!G36</f>
        <v>6659.4250409634</v>
      </c>
      <c r="H57" s="27" t="n">
        <f aca="false">'4_Debt_Schedule'!H36</f>
        <v>3016.13160349854</v>
      </c>
      <c r="I57" s="27" t="n">
        <f aca="false">'4_Debt_Schedule'!I36</f>
        <v>0</v>
      </c>
      <c r="J57" s="27" t="n">
        <f aca="false">'4_Debt_Schedule'!J36</f>
        <v>0</v>
      </c>
      <c r="K57" s="27" t="n">
        <f aca="false">'4_Debt_Schedule'!K36</f>
        <v>0</v>
      </c>
      <c r="L57" s="27" t="n">
        <f aca="false">'4_Debt_Schedule'!L36</f>
        <v>0</v>
      </c>
    </row>
    <row r="58" customFormat="false" ht="15" hidden="false" customHeight="true" outlineLevel="0" collapsed="false">
      <c r="B58" s="7" t="s">
        <v>268</v>
      </c>
      <c r="C58" s="5" t="s">
        <v>121</v>
      </c>
      <c r="E58" s="27" t="n">
        <f aca="false">'4_Debt_Schedule'!E41</f>
        <v>7070</v>
      </c>
      <c r="F58" s="27" t="n">
        <f aca="false">'4_Debt_Schedule'!F41</f>
        <v>7070</v>
      </c>
      <c r="G58" s="27" t="n">
        <f aca="false">'4_Debt_Schedule'!G41</f>
        <v>7070</v>
      </c>
      <c r="H58" s="27" t="n">
        <f aca="false">'4_Debt_Schedule'!H41</f>
        <v>7070</v>
      </c>
      <c r="I58" s="27" t="n">
        <f aca="false">'4_Debt_Schedule'!I41</f>
        <v>7070</v>
      </c>
      <c r="J58" s="27" t="n">
        <f aca="false">'4_Debt_Schedule'!J41</f>
        <v>7070</v>
      </c>
      <c r="K58" s="27" t="n">
        <f aca="false">'4_Debt_Schedule'!K41</f>
        <v>7070</v>
      </c>
      <c r="L58" s="27" t="n">
        <f aca="false">'4_Debt_Schedule'!L41</f>
        <v>7070</v>
      </c>
    </row>
    <row r="59" customFormat="false" ht="15" hidden="false" customHeight="true" outlineLevel="0" collapsed="false">
      <c r="B59" s="7" t="s">
        <v>269</v>
      </c>
      <c r="C59" s="5" t="s">
        <v>121</v>
      </c>
      <c r="E59" s="27" t="n">
        <f aca="false">'4_Debt_Schedule'!E47</f>
        <v>0</v>
      </c>
      <c r="F59" s="27" t="n">
        <f aca="false">'4_Debt_Schedule'!F47</f>
        <v>0</v>
      </c>
      <c r="G59" s="27" t="n">
        <f aca="false">'4_Debt_Schedule'!G47</f>
        <v>0</v>
      </c>
      <c r="H59" s="27" t="n">
        <f aca="false">'4_Debt_Schedule'!H47</f>
        <v>0</v>
      </c>
      <c r="I59" s="27" t="n">
        <f aca="false">'4_Debt_Schedule'!I47</f>
        <v>0</v>
      </c>
      <c r="J59" s="27" t="n">
        <f aca="false">'4_Debt_Schedule'!J47</f>
        <v>0</v>
      </c>
      <c r="K59" s="27" t="n">
        <f aca="false">'4_Debt_Schedule'!K47</f>
        <v>0</v>
      </c>
      <c r="L59" s="27" t="n">
        <f aca="false">'4_Debt_Schedule'!L47</f>
        <v>0</v>
      </c>
    </row>
    <row r="60" customFormat="false" ht="15" hidden="false" customHeight="true" outlineLevel="0" collapsed="false">
      <c r="B60" s="7" t="s">
        <v>270</v>
      </c>
      <c r="C60" s="5" t="s">
        <v>121</v>
      </c>
      <c r="E60" s="27" t="n">
        <f aca="false">'4_Debt_Schedule'!E53</f>
        <v>470</v>
      </c>
      <c r="F60" s="27" t="n">
        <f aca="false">'4_Debt_Schedule'!F53</f>
        <v>448.32516998927</v>
      </c>
      <c r="G60" s="27" t="n">
        <f aca="false">'4_Debt_Schedule'!G53</f>
        <v>435.309361073503</v>
      </c>
      <c r="H60" s="27" t="n">
        <f aca="false">'4_Debt_Schedule'!H53</f>
        <v>429.766109496844</v>
      </c>
      <c r="I60" s="27" t="n">
        <f aca="false">'4_Debt_Schedule'!I53</f>
        <v>430.661513855004</v>
      </c>
      <c r="J60" s="27" t="n">
        <f aca="false">'4_Debt_Schedule'!J53</f>
        <v>437.084085729267</v>
      </c>
      <c r="K60" s="27" t="n">
        <f aca="false">'4_Debt_Schedule'!K53</f>
        <v>448.219916606685</v>
      </c>
      <c r="L60" s="27" t="n">
        <f aca="false">'4_Debt_Schedule'!L53</f>
        <v>463.332510493981</v>
      </c>
    </row>
    <row r="61" customFormat="false" ht="15" hidden="false" customHeight="true" outlineLevel="0" collapsed="false">
      <c r="B61" s="7" t="s">
        <v>271</v>
      </c>
      <c r="C61" s="5" t="s">
        <v>121</v>
      </c>
      <c r="E61" s="44" t="n">
        <v>112</v>
      </c>
      <c r="F61" s="41" t="n">
        <f aca="false">E61</f>
        <v>112</v>
      </c>
      <c r="G61" s="41" t="n">
        <f aca="false">F61</f>
        <v>112</v>
      </c>
      <c r="H61" s="41" t="n">
        <f aca="false">G61</f>
        <v>112</v>
      </c>
      <c r="I61" s="41" t="n">
        <f aca="false">H61</f>
        <v>112</v>
      </c>
      <c r="J61" s="41" t="n">
        <f aca="false">I61</f>
        <v>112</v>
      </c>
      <c r="K61" s="41" t="n">
        <f aca="false">J61</f>
        <v>112</v>
      </c>
      <c r="L61" s="41" t="n">
        <f aca="false">K61</f>
        <v>112</v>
      </c>
    </row>
    <row r="62" customFormat="false" ht="15" hidden="false" customHeight="true" outlineLevel="0" collapsed="false">
      <c r="B62" s="3" t="s">
        <v>272</v>
      </c>
      <c r="C62" s="5" t="s">
        <v>121</v>
      </c>
      <c r="E62" s="43" t="n">
        <f aca="false">SUM(E55:E61)</f>
        <v>20282</v>
      </c>
      <c r="F62" s="43" t="n">
        <f aca="false">SUM(F55:F61)</f>
        <v>17221.4224123589</v>
      </c>
      <c r="G62" s="43" t="n">
        <f aca="false">SUM(G55:G61)</f>
        <v>14276.7344020369</v>
      </c>
      <c r="H62" s="43" t="n">
        <f aca="false">SUM(H55:H61)</f>
        <v>10627.8977129954</v>
      </c>
      <c r="I62" s="43" t="n">
        <f aca="false">SUM(I55:I61)</f>
        <v>7612.661513855</v>
      </c>
      <c r="J62" s="43" t="n">
        <f aca="false">SUM(J55:J61)</f>
        <v>7619.08408572927</v>
      </c>
      <c r="K62" s="43" t="n">
        <f aca="false">SUM(K55:K61)</f>
        <v>7630.21991660669</v>
      </c>
      <c r="L62" s="43" t="n">
        <f aca="false">SUM(L55:L61)</f>
        <v>7645.33251049398</v>
      </c>
    </row>
    <row r="63" customFormat="false" ht="15" hidden="false" customHeight="true" outlineLevel="0" collapsed="false">
      <c r="B63" s="7" t="s">
        <v>273</v>
      </c>
      <c r="C63" s="5" t="s">
        <v>121</v>
      </c>
      <c r="E63" s="27" t="n">
        <f aca="false">'1_Transaction_Summary'!C49+'1_Transaction_Summary'!C50-'1_Transaction_Summary'!C36</f>
        <v>90627.1468853948</v>
      </c>
      <c r="F63" s="41" t="n">
        <f aca="false">E63+F25+F30-'4_Debt_Schedule'!F89-'4_Debt_Schedule'!F87</f>
        <v>92373.8111163282</v>
      </c>
      <c r="G63" s="41" t="n">
        <f aca="false">F63+G25+G30-'4_Debt_Schedule'!G89-'4_Debt_Schedule'!G87</f>
        <v>94850.9181100349</v>
      </c>
      <c r="H63" s="41" t="n">
        <f aca="false">G63+H25+H30-'4_Debt_Schedule'!H89-'4_Debt_Schedule'!H87</f>
        <v>98017.5410494037</v>
      </c>
      <c r="I63" s="41" t="n">
        <f aca="false">H63+I25+I30-'4_Debt_Schedule'!I89-'4_Debt_Schedule'!I87</f>
        <v>101879.861560001</v>
      </c>
      <c r="J63" s="41" t="n">
        <f aca="false">I63+J25+J30-'4_Debt_Schedule'!J89-'4_Debt_Schedule'!J87</f>
        <v>106469.138262778</v>
      </c>
      <c r="K63" s="41" t="n">
        <f aca="false">J63+K25+K30-'4_Debt_Schedule'!K89-'4_Debt_Schedule'!K87</f>
        <v>111730.736931901</v>
      </c>
      <c r="L63" s="41" t="n">
        <f aca="false">K63+L25+L30-'4_Debt_Schedule'!L89-'4_Debt_Schedule'!L87</f>
        <v>117705.570367278</v>
      </c>
    </row>
    <row r="64" customFormat="false" ht="15" hidden="false" customHeight="true" outlineLevel="0" collapsed="false">
      <c r="B64" s="3" t="s">
        <v>274</v>
      </c>
      <c r="C64" s="5" t="s">
        <v>121</v>
      </c>
      <c r="E64" s="43" t="n">
        <f aca="false">E62+E63</f>
        <v>110909.146885395</v>
      </c>
      <c r="F64" s="43" t="n">
        <f aca="false">F62+F63</f>
        <v>109595.233528687</v>
      </c>
      <c r="G64" s="43" t="n">
        <f aca="false">G62+G63</f>
        <v>109127.652512072</v>
      </c>
      <c r="H64" s="43" t="n">
        <f aca="false">H62+H63</f>
        <v>108645.438762399</v>
      </c>
      <c r="I64" s="43" t="n">
        <f aca="false">I62+I63</f>
        <v>109492.523073856</v>
      </c>
      <c r="J64" s="43" t="n">
        <f aca="false">J62+J63</f>
        <v>114088.222348507</v>
      </c>
      <c r="K64" s="43" t="n">
        <f aca="false">K62+K63</f>
        <v>119360.956848508</v>
      </c>
      <c r="L64" s="43" t="n">
        <f aca="false">L62+L63</f>
        <v>125350.902877772</v>
      </c>
    </row>
    <row r="66" customFormat="false" ht="15" hidden="false" customHeight="true" outlineLevel="0" collapsed="false">
      <c r="B66" s="3" t="s">
        <v>275</v>
      </c>
      <c r="C66" s="5" t="s">
        <v>121</v>
      </c>
      <c r="E66" s="24" t="n">
        <f aca="false">ROUND(E54-E64,3)</f>
        <v>0</v>
      </c>
      <c r="F66" s="24" t="n">
        <f aca="false">ROUND(F54-F64,3)</f>
        <v>0</v>
      </c>
      <c r="G66" s="24" t="n">
        <f aca="false">ROUND(G54-G64,3)</f>
        <v>0</v>
      </c>
      <c r="H66" s="24" t="n">
        <f aca="false">ROUND(H54-H64,3)</f>
        <v>0</v>
      </c>
      <c r="I66" s="24" t="n">
        <f aca="false">ROUND(I54-I64,3)</f>
        <v>0</v>
      </c>
      <c r="J66" s="24" t="n">
        <f aca="false">ROUND(J54-J64,3)</f>
        <v>0</v>
      </c>
      <c r="K66" s="24" t="n">
        <f aca="false">ROUND(K54-K64,3)</f>
        <v>0</v>
      </c>
      <c r="L66" s="24" t="n">
        <f aca="false">ROUND(L54-L64,3)</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M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13"/>
    <col collapsed="false" customWidth="true" hidden="false" outlineLevel="0" max="4" min="4" style="1" width="30"/>
    <col collapsed="false" customWidth="true" hidden="false" outlineLevel="0" max="12" min="5" style="1" width="12"/>
  </cols>
  <sheetData>
    <row r="1" customFormat="false" ht="17.25" hidden="false" customHeight="true" outlineLevel="0" collapsed="false">
      <c r="B1" s="2" t="s">
        <v>276</v>
      </c>
      <c r="J1" s="3" t="s">
        <v>1</v>
      </c>
      <c r="K1" s="4" t="str">
        <f aca="false">'0_Dashboard_Toggles'!$D$49</f>
        <v>OK</v>
      </c>
    </row>
    <row r="2" customFormat="false" ht="15" hidden="false" customHeight="true" outlineLevel="0" collapsed="false">
      <c r="B2" s="5" t="s">
        <v>277</v>
      </c>
      <c r="E2" s="48" t="s">
        <v>147</v>
      </c>
    </row>
    <row r="3" customFormat="false" ht="15" hidden="false" customHeight="true" outlineLevel="0" collapsed="false">
      <c r="B3" s="3" t="s">
        <v>148</v>
      </c>
      <c r="E3" s="49" t="n">
        <v>2026</v>
      </c>
      <c r="F3" s="49" t="n">
        <v>2027</v>
      </c>
      <c r="G3" s="49" t="n">
        <v>2028</v>
      </c>
      <c r="H3" s="49" t="n">
        <v>2029</v>
      </c>
      <c r="I3" s="49" t="n">
        <v>2030</v>
      </c>
      <c r="J3" s="49" t="n">
        <v>2031</v>
      </c>
      <c r="K3" s="49" t="n">
        <v>2032</v>
      </c>
      <c r="L3" s="49" t="n">
        <v>2033</v>
      </c>
    </row>
    <row r="4" customFormat="false" ht="15" hidden="false" customHeight="true" outlineLevel="0" collapsed="false">
      <c r="B4" s="50" t="s">
        <v>149</v>
      </c>
      <c r="E4" s="51" t="n">
        <v>0</v>
      </c>
      <c r="F4" s="51" t="n">
        <v>1</v>
      </c>
      <c r="G4" s="51" t="n">
        <v>2</v>
      </c>
      <c r="H4" s="51" t="n">
        <v>3</v>
      </c>
      <c r="I4" s="51" t="n">
        <v>4</v>
      </c>
      <c r="J4" s="51" t="n">
        <v>5</v>
      </c>
      <c r="K4" s="51" t="n">
        <v>6</v>
      </c>
      <c r="L4" s="51" t="n">
        <v>7</v>
      </c>
    </row>
    <row r="5" customFormat="false" ht="15" hidden="false" customHeight="true" outlineLevel="0" collapsed="false">
      <c r="B5" s="6" t="s">
        <v>278</v>
      </c>
      <c r="C5" s="6"/>
      <c r="D5" s="6"/>
      <c r="E5" s="6"/>
      <c r="F5" s="6"/>
      <c r="G5" s="6"/>
      <c r="H5" s="6"/>
      <c r="I5" s="6"/>
      <c r="J5" s="6"/>
      <c r="K5" s="6"/>
      <c r="L5" s="6"/>
    </row>
    <row r="6" customFormat="false" ht="15" hidden="false" customHeight="true" outlineLevel="0" collapsed="false">
      <c r="B6" s="7" t="s">
        <v>279</v>
      </c>
      <c r="C6" s="5" t="s">
        <v>152</v>
      </c>
      <c r="D6" s="5" t="s">
        <v>280</v>
      </c>
      <c r="F6" s="60" t="n">
        <v>0.021</v>
      </c>
      <c r="G6" s="60" t="n">
        <v>0.022</v>
      </c>
      <c r="H6" s="60" t="n">
        <v>0.023</v>
      </c>
      <c r="I6" s="60" t="n">
        <v>0.024</v>
      </c>
      <c r="J6" s="60" t="n">
        <v>0.025</v>
      </c>
      <c r="K6" s="60" t="n">
        <v>0.025</v>
      </c>
      <c r="L6" s="60" t="n">
        <v>0.025</v>
      </c>
    </row>
    <row r="7" customFormat="false" ht="15" hidden="false" customHeight="true" outlineLevel="0" collapsed="false">
      <c r="B7" s="7" t="s">
        <v>281</v>
      </c>
      <c r="C7" s="5" t="s">
        <v>152</v>
      </c>
      <c r="F7" s="52" t="n">
        <f aca="false">MAX(0,F6+'0_Dashboard_Toggles'!$H$34/10000)</f>
        <v>0.021</v>
      </c>
      <c r="G7" s="52" t="n">
        <f aca="false">MAX(0,G6+'0_Dashboard_Toggles'!$H$34/10000)</f>
        <v>0.022</v>
      </c>
      <c r="H7" s="52" t="n">
        <f aca="false">MAX(0,H6+'0_Dashboard_Toggles'!$H$34/10000)</f>
        <v>0.023</v>
      </c>
      <c r="I7" s="52" t="n">
        <f aca="false">MAX(0,I6+'0_Dashboard_Toggles'!$H$34/10000)</f>
        <v>0.024</v>
      </c>
      <c r="J7" s="52" t="n">
        <f aca="false">MAX(0,J6+'0_Dashboard_Toggles'!$H$34/10000)</f>
        <v>0.025</v>
      </c>
      <c r="K7" s="52" t="n">
        <f aca="false">MAX(0,K6+'0_Dashboard_Toggles'!$H$34/10000)</f>
        <v>0.025</v>
      </c>
      <c r="L7" s="52" t="n">
        <f aca="false">MAX(0,L6+'0_Dashboard_Toggles'!$H$34/10000)</f>
        <v>0.025</v>
      </c>
    </row>
    <row r="8" customFormat="false" ht="15" hidden="false" customHeight="true" outlineLevel="0" collapsed="false">
      <c r="B8" s="7" t="s">
        <v>282</v>
      </c>
      <c r="C8" s="5" t="s">
        <v>152</v>
      </c>
      <c r="D8" s="5" t="s">
        <v>157</v>
      </c>
      <c r="E8" s="60" t="n">
        <v>0.02</v>
      </c>
    </row>
    <row r="10" customFormat="false" ht="15" hidden="false" customHeight="true" outlineLevel="0" collapsed="false">
      <c r="B10" s="6" t="s">
        <v>283</v>
      </c>
      <c r="C10" s="18" t="s">
        <v>284</v>
      </c>
      <c r="D10" s="18" t="s">
        <v>285</v>
      </c>
      <c r="E10" s="18" t="s">
        <v>286</v>
      </c>
      <c r="F10" s="18" t="s">
        <v>287</v>
      </c>
      <c r="G10" s="6"/>
      <c r="H10" s="6"/>
      <c r="I10" s="6"/>
      <c r="J10" s="6"/>
      <c r="K10" s="6"/>
      <c r="L10" s="6"/>
    </row>
    <row r="11" customFormat="false" ht="15" hidden="false" customHeight="true" outlineLevel="0" collapsed="false">
      <c r="B11" s="7" t="s">
        <v>288</v>
      </c>
      <c r="C11" s="27" t="n">
        <f aca="false">'1_Transaction_Summary'!C42</f>
        <v>4040</v>
      </c>
      <c r="D11" s="60" t="n">
        <v>0.0325</v>
      </c>
      <c r="E11" s="62" t="n">
        <v>2033</v>
      </c>
      <c r="F11" s="46" t="n">
        <v>0.1</v>
      </c>
    </row>
    <row r="12" customFormat="false" ht="15" hidden="false" customHeight="true" outlineLevel="0" collapsed="false">
      <c r="B12" s="7" t="s">
        <v>289</v>
      </c>
      <c r="C12" s="27" t="n">
        <f aca="false">'1_Transaction_Summary'!C43</f>
        <v>8590</v>
      </c>
      <c r="D12" s="60" t="n">
        <v>0.04</v>
      </c>
      <c r="E12" s="62" t="n">
        <v>2034</v>
      </c>
      <c r="F12" s="46" t="n">
        <v>0</v>
      </c>
    </row>
    <row r="13" customFormat="false" ht="15" hidden="false" customHeight="true" outlineLevel="0" collapsed="false">
      <c r="B13" s="7" t="s">
        <v>290</v>
      </c>
      <c r="C13" s="27" t="n">
        <f aca="false">'1_Transaction_Summary'!C44</f>
        <v>7070</v>
      </c>
      <c r="D13" s="60" t="n">
        <v>0.075</v>
      </c>
      <c r="E13" s="62" t="n">
        <v>2034</v>
      </c>
      <c r="F13" s="46" t="n">
        <v>0</v>
      </c>
    </row>
    <row r="14" customFormat="false" ht="15" hidden="false" customHeight="true" outlineLevel="0" collapsed="false">
      <c r="B14" s="7" t="s">
        <v>291</v>
      </c>
      <c r="D14" s="60" t="n">
        <v>0.03</v>
      </c>
      <c r="E14" s="62" t="n">
        <v>2032</v>
      </c>
    </row>
    <row r="15" customFormat="false" ht="15" hidden="false" customHeight="true" outlineLevel="0" collapsed="false">
      <c r="B15" s="7" t="s">
        <v>292</v>
      </c>
      <c r="C15" s="44" t="n">
        <v>500</v>
      </c>
      <c r="D15" s="60" t="n">
        <v>0.00375</v>
      </c>
    </row>
    <row r="17" customFormat="false" ht="15" hidden="false" customHeight="true" outlineLevel="0" collapsed="false">
      <c r="B17" s="6" t="s">
        <v>293</v>
      </c>
      <c r="C17" s="6"/>
      <c r="D17" s="6"/>
      <c r="E17" s="6"/>
      <c r="F17" s="6"/>
      <c r="G17" s="6"/>
      <c r="H17" s="6"/>
      <c r="I17" s="6"/>
      <c r="J17" s="6"/>
      <c r="K17" s="6"/>
      <c r="L17" s="6"/>
    </row>
    <row r="18" customFormat="false" ht="15" hidden="false" customHeight="true" outlineLevel="0" collapsed="false">
      <c r="B18" s="7" t="s">
        <v>254</v>
      </c>
      <c r="C18" s="5" t="s">
        <v>121</v>
      </c>
      <c r="F18" s="27" t="n">
        <f aca="false">'3_Financial_Statements'!E44</f>
        <v>2388</v>
      </c>
      <c r="G18" s="27" t="n">
        <f aca="false">'3_Financial_Statements'!F44</f>
        <v>1500</v>
      </c>
      <c r="H18" s="27" t="n">
        <f aca="false">'3_Financial_Statements'!G44</f>
        <v>1500</v>
      </c>
      <c r="I18" s="27" t="n">
        <f aca="false">'3_Financial_Statements'!H44</f>
        <v>1500</v>
      </c>
      <c r="J18" s="27" t="n">
        <f aca="false">'3_Financial_Statements'!I44</f>
        <v>2840.95559704759</v>
      </c>
      <c r="K18" s="27" t="n">
        <f aca="false">'3_Financial_Statements'!J44</f>
        <v>7938.76393606654</v>
      </c>
      <c r="L18" s="27" t="n">
        <f aca="false">'3_Financial_Statements'!K44</f>
        <v>13718.0208886799</v>
      </c>
    </row>
    <row r="19" customFormat="false" ht="15" hidden="false" customHeight="true" outlineLevel="0" collapsed="false">
      <c r="B19" s="7" t="s">
        <v>247</v>
      </c>
      <c r="C19" s="5" t="s">
        <v>121</v>
      </c>
      <c r="F19" s="27" t="n">
        <f aca="false">'3_Financial_Statements'!F36</f>
        <v>2150.90275763037</v>
      </c>
      <c r="G19" s="27" t="n">
        <f aca="false">'3_Financial_Statements'!G36</f>
        <v>2931.67220140624</v>
      </c>
      <c r="H19" s="27" t="n">
        <f aca="false">'3_Financial_Statements'!H36</f>
        <v>3643.29343746486</v>
      </c>
      <c r="I19" s="27" t="n">
        <f aca="false">'3_Financial_Statements'!I36</f>
        <v>4357.08720054613</v>
      </c>
      <c r="J19" s="27" t="n">
        <f aca="false">'3_Financial_Statements'!J36</f>
        <v>5097.80833901895</v>
      </c>
      <c r="K19" s="27" t="n">
        <f aca="false">'3_Financial_Statements'!K36</f>
        <v>5779.2569526134</v>
      </c>
      <c r="L19" s="27" t="n">
        <f aca="false">'3_Financial_Statements'!L36</f>
        <v>6496.70842669414</v>
      </c>
    </row>
    <row r="20" customFormat="false" ht="15" hidden="false" customHeight="true" outlineLevel="0" collapsed="false">
      <c r="B20" s="7" t="s">
        <v>294</v>
      </c>
      <c r="C20" s="5" t="s">
        <v>121</v>
      </c>
      <c r="F20" s="41" t="n">
        <f aca="false">-F28</f>
        <v>-404</v>
      </c>
      <c r="G20" s="41" t="n">
        <f aca="false">-G28</f>
        <v>-404</v>
      </c>
      <c r="H20" s="41" t="n">
        <f aca="false">-H28</f>
        <v>-0</v>
      </c>
      <c r="I20" s="41" t="n">
        <f aca="false">-I28</f>
        <v>-0</v>
      </c>
      <c r="J20" s="41" t="n">
        <f aca="false">-J28</f>
        <v>-0</v>
      </c>
      <c r="K20" s="41" t="n">
        <f aca="false">-K28</f>
        <v>-0</v>
      </c>
      <c r="L20" s="41" t="n">
        <f aca="false">-L28</f>
        <v>-0</v>
      </c>
    </row>
    <row r="21" customFormat="false" ht="15" hidden="false" customHeight="true" outlineLevel="0" collapsed="false">
      <c r="B21" s="7" t="s">
        <v>295</v>
      </c>
      <c r="C21" s="5" t="s">
        <v>121</v>
      </c>
      <c r="F21" s="27" t="n">
        <f aca="false">F18+F19+F20-'0_Dashboard_Toggles'!$C$13</f>
        <v>2634.90275763037</v>
      </c>
      <c r="G21" s="27" t="n">
        <f aca="false">G18+G19+G20-'0_Dashboard_Toggles'!$C$13</f>
        <v>2527.67220140624</v>
      </c>
      <c r="H21" s="27" t="n">
        <f aca="false">H18+H19+H20-'0_Dashboard_Toggles'!$C$13</f>
        <v>3643.29343746486</v>
      </c>
      <c r="I21" s="27" t="n">
        <f aca="false">I18+I19+I20-'0_Dashboard_Toggles'!$C$13</f>
        <v>4357.08720054613</v>
      </c>
      <c r="J21" s="27" t="n">
        <f aca="false">J18+J19+J20-'0_Dashboard_Toggles'!$C$13</f>
        <v>6438.76393606654</v>
      </c>
      <c r="K21" s="27" t="n">
        <f aca="false">K18+K19+K20-'0_Dashboard_Toggles'!$C$13</f>
        <v>12218.0208886799</v>
      </c>
      <c r="L21" s="27" t="n">
        <f aca="false">L18+L19+L20-'0_Dashboard_Toggles'!$C$13</f>
        <v>18714.7293153741</v>
      </c>
    </row>
    <row r="22" customFormat="false" ht="15" hidden="false" customHeight="true" outlineLevel="0" collapsed="false">
      <c r="B22" s="7" t="s">
        <v>252</v>
      </c>
      <c r="C22" s="5" t="s">
        <v>121</v>
      </c>
      <c r="F22" s="41" t="n">
        <f aca="false">IF(F21&lt;0,MIN(-F21,$C$15-E47),-MIN(E47,F21))</f>
        <v>-0</v>
      </c>
      <c r="G22" s="41" t="n">
        <f aca="false">IF(G21&lt;0,MIN(-G21,$C$15-F47),-MIN(F47,G21))</f>
        <v>-0</v>
      </c>
      <c r="H22" s="41" t="n">
        <f aca="false">IF(H21&lt;0,MIN(-H21,$C$15-G47),-MIN(G47,H21))</f>
        <v>-0</v>
      </c>
      <c r="I22" s="41" t="n">
        <f aca="false">IF(I21&lt;0,MIN(-I21,$C$15-H47),-MIN(H47,I21))</f>
        <v>-0</v>
      </c>
      <c r="J22" s="41" t="n">
        <f aca="false">IF(J21&lt;0,MIN(-J21,$C$15-I47),-MIN(I47,J21))</f>
        <v>-0</v>
      </c>
      <c r="K22" s="41" t="n">
        <f aca="false">IF(K21&lt;0,MIN(-K21,$C$15-J47),-MIN(J47,K21))</f>
        <v>-0</v>
      </c>
      <c r="L22" s="41" t="n">
        <f aca="false">IF(L21&lt;0,MIN(-L21,$C$15-K47),-MIN(K47,L21))</f>
        <v>-0</v>
      </c>
    </row>
    <row r="23" customFormat="false" ht="15" hidden="false" customHeight="true" outlineLevel="0" collapsed="false">
      <c r="B23" s="7" t="s">
        <v>296</v>
      </c>
      <c r="C23" s="5" t="s">
        <v>121</v>
      </c>
      <c r="F23" s="41" t="n">
        <f aca="false">MAX(0,F21+MIN(0,F22))</f>
        <v>2634.90275763037</v>
      </c>
      <c r="G23" s="41" t="n">
        <f aca="false">MAX(0,G21+MIN(0,G22))</f>
        <v>2527.67220140624</v>
      </c>
      <c r="H23" s="41" t="n">
        <f aca="false">MAX(0,H21+MIN(0,H22))</f>
        <v>3643.29343746486</v>
      </c>
      <c r="I23" s="41" t="n">
        <f aca="false">MAX(0,I21+MIN(0,I22))</f>
        <v>4357.08720054613</v>
      </c>
      <c r="J23" s="41" t="n">
        <f aca="false">MAX(0,J21+MIN(0,J22))</f>
        <v>6438.76393606654</v>
      </c>
      <c r="K23" s="41" t="n">
        <f aca="false">MAX(0,K21+MIN(0,K22))</f>
        <v>12218.0208886799</v>
      </c>
      <c r="L23" s="41" t="n">
        <f aca="false">MAX(0,L21+MIN(0,L22))</f>
        <v>18714.7293153741</v>
      </c>
    </row>
    <row r="24" customFormat="false" ht="15" hidden="false" customHeight="true" outlineLevel="0" collapsed="false">
      <c r="B24" s="3" t="s">
        <v>297</v>
      </c>
      <c r="C24" s="5" t="s">
        <v>121</v>
      </c>
      <c r="F24" s="47" t="n">
        <f aca="false">F23*'0_Dashboard_Toggles'!$C$11*'0_Dashboard_Toggles'!$C$12</f>
        <v>2634.90275763037</v>
      </c>
      <c r="G24" s="47" t="n">
        <f aca="false">G23*'0_Dashboard_Toggles'!$C$11*'0_Dashboard_Toggles'!$C$12</f>
        <v>2527.67220140624</v>
      </c>
      <c r="H24" s="47" t="n">
        <f aca="false">H23*'0_Dashboard_Toggles'!$C$11*'0_Dashboard_Toggles'!$C$12</f>
        <v>3643.29343746486</v>
      </c>
      <c r="I24" s="47" t="n">
        <f aca="false">I23*'0_Dashboard_Toggles'!$C$11*'0_Dashboard_Toggles'!$C$12</f>
        <v>4357.08720054613</v>
      </c>
      <c r="J24" s="47" t="n">
        <f aca="false">J23*'0_Dashboard_Toggles'!$C$11*'0_Dashboard_Toggles'!$C$12</f>
        <v>6438.76393606654</v>
      </c>
      <c r="K24" s="47" t="n">
        <f aca="false">K23*'0_Dashboard_Toggles'!$C$11*'0_Dashboard_Toggles'!$C$12</f>
        <v>12218.0208886799</v>
      </c>
      <c r="L24" s="47" t="n">
        <f aca="false">L23*'0_Dashboard_Toggles'!$C$11*'0_Dashboard_Toggles'!$C$12</f>
        <v>18714.7293153741</v>
      </c>
    </row>
    <row r="26" customFormat="false" ht="15" hidden="false" customHeight="true" outlineLevel="0" collapsed="false">
      <c r="B26" s="6" t="s">
        <v>298</v>
      </c>
      <c r="C26" s="6"/>
      <c r="D26" s="6"/>
      <c r="E26" s="6"/>
      <c r="F26" s="6"/>
      <c r="G26" s="6"/>
      <c r="H26" s="6"/>
      <c r="I26" s="6"/>
      <c r="J26" s="6"/>
      <c r="K26" s="6"/>
      <c r="L26" s="6"/>
    </row>
    <row r="27" customFormat="false" ht="15" hidden="false" customHeight="true" outlineLevel="0" collapsed="false">
      <c r="B27" s="7" t="s">
        <v>299</v>
      </c>
      <c r="C27" s="5" t="s">
        <v>121</v>
      </c>
      <c r="F27" s="41" t="n">
        <f aca="false">E31</f>
        <v>4040</v>
      </c>
      <c r="G27" s="41" t="n">
        <f aca="false">F31</f>
        <v>1001.09724236963</v>
      </c>
      <c r="H27" s="41" t="n">
        <f aca="false">G31</f>
        <v>0</v>
      </c>
      <c r="I27" s="41" t="n">
        <f aca="false">H31</f>
        <v>0</v>
      </c>
      <c r="J27" s="41" t="n">
        <f aca="false">I31</f>
        <v>0</v>
      </c>
      <c r="K27" s="41" t="n">
        <f aca="false">J31</f>
        <v>0</v>
      </c>
      <c r="L27" s="41" t="n">
        <f aca="false">K31</f>
        <v>0</v>
      </c>
    </row>
    <row r="28" customFormat="false" ht="15" hidden="false" customHeight="true" outlineLevel="0" collapsed="false">
      <c r="B28" s="7" t="s">
        <v>300</v>
      </c>
      <c r="C28" s="5" t="s">
        <v>121</v>
      </c>
      <c r="F28" s="41" t="n">
        <f aca="false">IF(F$3&gt;=$E$11,F27,MIN(F27,$C$11*$F$11))</f>
        <v>404</v>
      </c>
      <c r="G28" s="41" t="n">
        <f aca="false">IF(G$3&gt;=$E$11,G27,MIN(G27,$C$11*$F$11))</f>
        <v>404</v>
      </c>
      <c r="H28" s="41" t="n">
        <f aca="false">IF(H$3&gt;=$E$11,H27,MIN(H27,$C$11*$F$11))</f>
        <v>0</v>
      </c>
      <c r="I28" s="41" t="n">
        <f aca="false">IF(I$3&gt;=$E$11,I27,MIN(I27,$C$11*$F$11))</f>
        <v>0</v>
      </c>
      <c r="J28" s="41" t="n">
        <f aca="false">IF(J$3&gt;=$E$11,J27,MIN(J27,$C$11*$F$11))</f>
        <v>0</v>
      </c>
      <c r="K28" s="41" t="n">
        <f aca="false">IF(K$3&gt;=$E$11,K27,MIN(K27,$C$11*$F$11))</f>
        <v>0</v>
      </c>
      <c r="L28" s="41" t="n">
        <f aca="false">IF(L$3&gt;=$E$11,L27,MIN(L27,$C$11*$F$11))</f>
        <v>0</v>
      </c>
    </row>
    <row r="29" customFormat="false" ht="15" hidden="false" customHeight="true" outlineLevel="0" collapsed="false">
      <c r="B29" s="7" t="s">
        <v>301</v>
      </c>
      <c r="C29" s="5" t="s">
        <v>121</v>
      </c>
      <c r="F29" s="41" t="n">
        <f aca="false">MIN(F27-F28,F24)</f>
        <v>2634.90275763037</v>
      </c>
      <c r="G29" s="41" t="n">
        <f aca="false">MIN(G27-G28,G24)</f>
        <v>597.097242369633</v>
      </c>
      <c r="H29" s="41" t="n">
        <f aca="false">MIN(H27-H28,H24)</f>
        <v>0</v>
      </c>
      <c r="I29" s="41" t="n">
        <f aca="false">MIN(I27-I28,I24)</f>
        <v>0</v>
      </c>
      <c r="J29" s="41" t="n">
        <f aca="false">MIN(J27-J28,J24)</f>
        <v>0</v>
      </c>
      <c r="K29" s="41" t="n">
        <f aca="false">MIN(K27-K28,K24)</f>
        <v>0</v>
      </c>
      <c r="L29" s="41" t="n">
        <f aca="false">MIN(L27-L28,L24)</f>
        <v>0</v>
      </c>
    </row>
    <row r="30" customFormat="false" ht="15" hidden="false" customHeight="true" outlineLevel="0" collapsed="false">
      <c r="B30" s="7" t="s">
        <v>302</v>
      </c>
      <c r="C30" s="5" t="s">
        <v>121</v>
      </c>
      <c r="F30" s="27" t="n">
        <f aca="false">IF('0_Dashboard_Toggles'!$C$10=1,AVERAGE(F27,F31),F27)*(F$7+$D$11)</f>
        <v>216.14</v>
      </c>
      <c r="G30" s="27" t="n">
        <f aca="false">IF('0_Dashboard_Toggles'!$C$10=1,AVERAGE(G27,G31),G27)*(G$7+$D$11)</f>
        <v>54.559799709145</v>
      </c>
      <c r="H30" s="27" t="n">
        <f aca="false">IF('0_Dashboard_Toggles'!$C$10=1,AVERAGE(H27,H31),H27)*(H$7+$D$11)</f>
        <v>0</v>
      </c>
      <c r="I30" s="27" t="n">
        <f aca="false">IF('0_Dashboard_Toggles'!$C$10=1,AVERAGE(I27,I31),I27)*(I$7+$D$11)</f>
        <v>0</v>
      </c>
      <c r="J30" s="27" t="n">
        <f aca="false">IF('0_Dashboard_Toggles'!$C$10=1,AVERAGE(J27,J31),J27)*(J$7+$D$11)</f>
        <v>0</v>
      </c>
      <c r="K30" s="27" t="n">
        <f aca="false">IF('0_Dashboard_Toggles'!$C$10=1,AVERAGE(K27,K31),K27)*(K$7+$D$11)</f>
        <v>0</v>
      </c>
      <c r="L30" s="27" t="n">
        <f aca="false">IF('0_Dashboard_Toggles'!$C$10=1,AVERAGE(L27,L31),L27)*(L$7+$D$11)</f>
        <v>0</v>
      </c>
    </row>
    <row r="31" customFormat="false" ht="15" hidden="false" customHeight="true" outlineLevel="0" collapsed="false">
      <c r="B31" s="3" t="s">
        <v>303</v>
      </c>
      <c r="C31" s="5" t="s">
        <v>121</v>
      </c>
      <c r="E31" s="43" t="n">
        <f aca="false">C11</f>
        <v>4040</v>
      </c>
      <c r="F31" s="43" t="n">
        <f aca="false">F27-F28-F29</f>
        <v>1001.09724236963</v>
      </c>
      <c r="G31" s="43" t="n">
        <f aca="false">G27-G28-G29</f>
        <v>0</v>
      </c>
      <c r="H31" s="43" t="n">
        <f aca="false">H27-H28-H29</f>
        <v>0</v>
      </c>
      <c r="I31" s="43" t="n">
        <f aca="false">I27-I28-I29</f>
        <v>0</v>
      </c>
      <c r="J31" s="43" t="n">
        <f aca="false">J27-J28-J29</f>
        <v>0</v>
      </c>
      <c r="K31" s="43" t="n">
        <f aca="false">K27-K28-K29</f>
        <v>0</v>
      </c>
      <c r="L31" s="43" t="n">
        <f aca="false">L27-L28-L29</f>
        <v>0</v>
      </c>
    </row>
    <row r="33" customFormat="false" ht="15" hidden="false" customHeight="true" outlineLevel="0" collapsed="false">
      <c r="B33" s="6" t="s">
        <v>304</v>
      </c>
      <c r="C33" s="6"/>
      <c r="D33" s="6"/>
      <c r="E33" s="6"/>
      <c r="F33" s="6"/>
      <c r="G33" s="6"/>
      <c r="H33" s="6"/>
      <c r="I33" s="6"/>
      <c r="J33" s="6"/>
      <c r="K33" s="6"/>
      <c r="L33" s="6"/>
    </row>
    <row r="34" customFormat="false" ht="15" hidden="false" customHeight="true" outlineLevel="0" collapsed="false">
      <c r="B34" s="7" t="s">
        <v>299</v>
      </c>
      <c r="C34" s="5" t="s">
        <v>121</v>
      </c>
      <c r="F34" s="41" t="n">
        <f aca="false">E36</f>
        <v>8590</v>
      </c>
      <c r="G34" s="41" t="n">
        <f aca="false">F36</f>
        <v>8590</v>
      </c>
      <c r="H34" s="41" t="n">
        <f aca="false">G36</f>
        <v>6659.4250409634</v>
      </c>
      <c r="I34" s="41" t="n">
        <f aca="false">H36</f>
        <v>3016.13160349854</v>
      </c>
      <c r="J34" s="41" t="n">
        <f aca="false">I36</f>
        <v>0</v>
      </c>
      <c r="K34" s="41" t="n">
        <f aca="false">J36</f>
        <v>0</v>
      </c>
      <c r="L34" s="41" t="n">
        <f aca="false">K36</f>
        <v>0</v>
      </c>
    </row>
    <row r="35" customFormat="false" ht="15" hidden="false" customHeight="true" outlineLevel="0" collapsed="false">
      <c r="B35" s="7" t="s">
        <v>301</v>
      </c>
      <c r="C35" s="5" t="s">
        <v>121</v>
      </c>
      <c r="F35" s="41" t="n">
        <f aca="false">MIN(F34,F24-F29)</f>
        <v>0</v>
      </c>
      <c r="G35" s="41" t="n">
        <f aca="false">MIN(G34,G24-G29)</f>
        <v>1930.5749590366</v>
      </c>
      <c r="H35" s="41" t="n">
        <f aca="false">MIN(H34,H24-H29)</f>
        <v>3643.29343746486</v>
      </c>
      <c r="I35" s="41" t="n">
        <f aca="false">MIN(I34,I24-I29)</f>
        <v>3016.13160349854</v>
      </c>
      <c r="J35" s="41" t="n">
        <f aca="false">MIN(J34,J24-J29)</f>
        <v>0</v>
      </c>
      <c r="K35" s="41" t="n">
        <f aca="false">MIN(K34,K24-K29)</f>
        <v>0</v>
      </c>
      <c r="L35" s="41" t="n">
        <f aca="false">MIN(L34,L24-L29)</f>
        <v>0</v>
      </c>
    </row>
    <row r="36" customFormat="false" ht="15" hidden="false" customHeight="true" outlineLevel="0" collapsed="false">
      <c r="B36" s="3" t="s">
        <v>303</v>
      </c>
      <c r="C36" s="5" t="s">
        <v>121</v>
      </c>
      <c r="E36" s="43" t="n">
        <f aca="false">C12</f>
        <v>8590</v>
      </c>
      <c r="F36" s="43" t="n">
        <f aca="false">F34-F35</f>
        <v>8590</v>
      </c>
      <c r="G36" s="43" t="n">
        <f aca="false">G34-G35</f>
        <v>6659.4250409634</v>
      </c>
      <c r="H36" s="43" t="n">
        <f aca="false">H34-H35</f>
        <v>3016.13160349854</v>
      </c>
      <c r="I36" s="43" t="n">
        <f aca="false">I34-I35</f>
        <v>0</v>
      </c>
      <c r="J36" s="43" t="n">
        <f aca="false">J34-J35</f>
        <v>0</v>
      </c>
      <c r="K36" s="43" t="n">
        <f aca="false">K34-K35</f>
        <v>0</v>
      </c>
      <c r="L36" s="43" t="n">
        <f aca="false">L34-L35</f>
        <v>0</v>
      </c>
    </row>
    <row r="37" customFormat="false" ht="15" hidden="false" customHeight="true" outlineLevel="0" collapsed="false">
      <c r="B37" s="7" t="s">
        <v>302</v>
      </c>
      <c r="C37" s="5" t="s">
        <v>121</v>
      </c>
      <c r="F37" s="27" t="n">
        <f aca="false">IF('0_Dashboard_Toggles'!$C$10=1,AVERAGE(F34,F36),F34)*(F$7+$D$12)</f>
        <v>523.99</v>
      </c>
      <c r="G37" s="27" t="n">
        <f aca="false">IF('0_Dashboard_Toggles'!$C$10=1,AVERAGE(G34,G36),G34)*(G$7+$D$12)</f>
        <v>532.58</v>
      </c>
      <c r="H37" s="27" t="n">
        <f aca="false">IF('0_Dashboard_Toggles'!$C$10=1,AVERAGE(H34,H36),H34)*(H$7+$D$12)</f>
        <v>419.543777580694</v>
      </c>
      <c r="I37" s="27" t="n">
        <f aca="false">IF('0_Dashboard_Toggles'!$C$10=1,AVERAGE(I34,I36),I34)*(I$7+$D$12)</f>
        <v>193.032422623906</v>
      </c>
      <c r="J37" s="27" t="n">
        <f aca="false">IF('0_Dashboard_Toggles'!$C$10=1,AVERAGE(J34,J36),J34)*(J$7+$D$12)</f>
        <v>0</v>
      </c>
      <c r="K37" s="27" t="n">
        <f aca="false">IF('0_Dashboard_Toggles'!$C$10=1,AVERAGE(K34,K36),K34)*(K$7+$D$12)</f>
        <v>0</v>
      </c>
      <c r="L37" s="27" t="n">
        <f aca="false">IF('0_Dashboard_Toggles'!$C$10=1,AVERAGE(L34,L36),L34)*(L$7+$D$12)</f>
        <v>0</v>
      </c>
    </row>
    <row r="39" customFormat="false" ht="15" hidden="false" customHeight="true" outlineLevel="0" collapsed="false">
      <c r="B39" s="6" t="s">
        <v>305</v>
      </c>
      <c r="C39" s="6"/>
      <c r="D39" s="6"/>
      <c r="E39" s="6"/>
      <c r="F39" s="6"/>
      <c r="G39" s="6"/>
      <c r="H39" s="6"/>
      <c r="I39" s="6"/>
      <c r="J39" s="6"/>
      <c r="K39" s="6"/>
      <c r="L39" s="6"/>
    </row>
    <row r="40" customFormat="false" ht="15" hidden="false" customHeight="true" outlineLevel="0" collapsed="false">
      <c r="B40" s="7" t="s">
        <v>299</v>
      </c>
      <c r="C40" s="5" t="s">
        <v>121</v>
      </c>
      <c r="F40" s="41" t="n">
        <f aca="false">E41</f>
        <v>7070</v>
      </c>
      <c r="G40" s="41" t="n">
        <f aca="false">F41</f>
        <v>7070</v>
      </c>
      <c r="H40" s="41" t="n">
        <f aca="false">G41</f>
        <v>7070</v>
      </c>
      <c r="I40" s="41" t="n">
        <f aca="false">H41</f>
        <v>7070</v>
      </c>
      <c r="J40" s="41" t="n">
        <f aca="false">I41</f>
        <v>7070</v>
      </c>
      <c r="K40" s="41" t="n">
        <f aca="false">J41</f>
        <v>7070</v>
      </c>
      <c r="L40" s="41" t="n">
        <f aca="false">K41</f>
        <v>7070</v>
      </c>
    </row>
    <row r="41" customFormat="false" ht="15" hidden="false" customHeight="true" outlineLevel="0" collapsed="false">
      <c r="B41" s="3" t="s">
        <v>303</v>
      </c>
      <c r="C41" s="5" t="s">
        <v>121</v>
      </c>
      <c r="E41" s="43" t="n">
        <f aca="false">C13</f>
        <v>7070</v>
      </c>
      <c r="F41" s="43" t="n">
        <f aca="false">F40</f>
        <v>7070</v>
      </c>
      <c r="G41" s="43" t="n">
        <f aca="false">G40</f>
        <v>7070</v>
      </c>
      <c r="H41" s="43" t="n">
        <f aca="false">H40</f>
        <v>7070</v>
      </c>
      <c r="I41" s="43" t="n">
        <f aca="false">I40</f>
        <v>7070</v>
      </c>
      <c r="J41" s="43" t="n">
        <f aca="false">J40</f>
        <v>7070</v>
      </c>
      <c r="K41" s="43" t="n">
        <f aca="false">K40</f>
        <v>7070</v>
      </c>
      <c r="L41" s="43" t="n">
        <f aca="false">L40</f>
        <v>7070</v>
      </c>
    </row>
    <row r="42" customFormat="false" ht="15" hidden="false" customHeight="true" outlineLevel="0" collapsed="false">
      <c r="B42" s="7" t="s">
        <v>306</v>
      </c>
      <c r="C42" s="5" t="s">
        <v>121</v>
      </c>
      <c r="F42" s="41" t="n">
        <f aca="false">F40*$D$13</f>
        <v>530.25</v>
      </c>
      <c r="G42" s="41" t="n">
        <f aca="false">G40*$D$13</f>
        <v>530.25</v>
      </c>
      <c r="H42" s="41" t="n">
        <f aca="false">H40*$D$13</f>
        <v>530.25</v>
      </c>
      <c r="I42" s="41" t="n">
        <f aca="false">I40*$D$13</f>
        <v>530.25</v>
      </c>
      <c r="J42" s="41" t="n">
        <f aca="false">J40*$D$13</f>
        <v>530.25</v>
      </c>
      <c r="K42" s="41" t="n">
        <f aca="false">K40*$D$13</f>
        <v>530.25</v>
      </c>
      <c r="L42" s="41" t="n">
        <f aca="false">L40*$D$13</f>
        <v>530.25</v>
      </c>
    </row>
    <row r="44" customFormat="false" ht="15" hidden="false" customHeight="true" outlineLevel="0" collapsed="false">
      <c r="B44" s="6" t="s">
        <v>307</v>
      </c>
      <c r="C44" s="6"/>
      <c r="D44" s="6"/>
      <c r="E44" s="6"/>
      <c r="F44" s="6"/>
      <c r="G44" s="6"/>
      <c r="H44" s="6"/>
      <c r="I44" s="6"/>
      <c r="J44" s="6"/>
      <c r="K44" s="6"/>
      <c r="L44" s="6"/>
    </row>
    <row r="45" customFormat="false" ht="15" hidden="false" customHeight="true" outlineLevel="0" collapsed="false">
      <c r="B45" s="7" t="s">
        <v>299</v>
      </c>
      <c r="C45" s="5" t="s">
        <v>121</v>
      </c>
      <c r="F45" s="41" t="n">
        <f aca="false">E47</f>
        <v>0</v>
      </c>
      <c r="G45" s="41" t="n">
        <f aca="false">F47</f>
        <v>0</v>
      </c>
      <c r="H45" s="41" t="n">
        <f aca="false">G47</f>
        <v>0</v>
      </c>
      <c r="I45" s="41" t="n">
        <f aca="false">H47</f>
        <v>0</v>
      </c>
      <c r="J45" s="41" t="n">
        <f aca="false">I47</f>
        <v>0</v>
      </c>
      <c r="K45" s="41" t="n">
        <f aca="false">J47</f>
        <v>0</v>
      </c>
      <c r="L45" s="41" t="n">
        <f aca="false">K47</f>
        <v>0</v>
      </c>
    </row>
    <row r="46" customFormat="false" ht="15" hidden="false" customHeight="true" outlineLevel="0" collapsed="false">
      <c r="B46" s="7" t="s">
        <v>308</v>
      </c>
      <c r="C46" s="5" t="s">
        <v>121</v>
      </c>
      <c r="F46" s="41" t="n">
        <f aca="false">F22</f>
        <v>-0</v>
      </c>
      <c r="G46" s="41" t="n">
        <f aca="false">G22</f>
        <v>-0</v>
      </c>
      <c r="H46" s="41" t="n">
        <f aca="false">H22</f>
        <v>-0</v>
      </c>
      <c r="I46" s="41" t="n">
        <f aca="false">I22</f>
        <v>-0</v>
      </c>
      <c r="J46" s="41" t="n">
        <f aca="false">J22</f>
        <v>-0</v>
      </c>
      <c r="K46" s="41" t="n">
        <f aca="false">K22</f>
        <v>-0</v>
      </c>
      <c r="L46" s="41" t="n">
        <f aca="false">L22</f>
        <v>-0</v>
      </c>
    </row>
    <row r="47" customFormat="false" ht="15" hidden="false" customHeight="true" outlineLevel="0" collapsed="false">
      <c r="B47" s="3" t="s">
        <v>303</v>
      </c>
      <c r="C47" s="5" t="s">
        <v>121</v>
      </c>
      <c r="E47" s="47" t="n">
        <f aca="false">'1_Transaction_Summary'!C45</f>
        <v>0</v>
      </c>
      <c r="F47" s="43" t="n">
        <f aca="false">F45+F46</f>
        <v>0</v>
      </c>
      <c r="G47" s="43" t="n">
        <f aca="false">G45+G46</f>
        <v>0</v>
      </c>
      <c r="H47" s="43" t="n">
        <f aca="false">H45+H46</f>
        <v>0</v>
      </c>
      <c r="I47" s="43" t="n">
        <f aca="false">I45+I46</f>
        <v>0</v>
      </c>
      <c r="J47" s="43" t="n">
        <f aca="false">J45+J46</f>
        <v>0</v>
      </c>
      <c r="K47" s="43" t="n">
        <f aca="false">K45+K46</f>
        <v>0</v>
      </c>
      <c r="L47" s="43" t="n">
        <f aca="false">L45+L46</f>
        <v>0</v>
      </c>
    </row>
    <row r="48" customFormat="false" ht="15" hidden="false" customHeight="true" outlineLevel="0" collapsed="false">
      <c r="B48" s="7" t="s">
        <v>309</v>
      </c>
      <c r="C48" s="5" t="s">
        <v>121</v>
      </c>
      <c r="F48" s="27" t="n">
        <f aca="false">IF('0_Dashboard_Toggles'!$C$10=1,AVERAGE(F45,F47),F45)*(F$7+$D$14)+($C$15-IF('0_Dashboard_Toggles'!$C$10=1,AVERAGE(F45,F47),F45))*$D$15</f>
        <v>1.875</v>
      </c>
      <c r="G48" s="27" t="n">
        <f aca="false">IF('0_Dashboard_Toggles'!$C$10=1,AVERAGE(G45,G47),G45)*(G$7+$D$14)+($C$15-IF('0_Dashboard_Toggles'!$C$10=1,AVERAGE(G45,G47),G45))*$D$15</f>
        <v>1.875</v>
      </c>
      <c r="H48" s="27" t="n">
        <f aca="false">IF('0_Dashboard_Toggles'!$C$10=1,AVERAGE(H45,H47),H45)*(H$7+$D$14)+($C$15-IF('0_Dashboard_Toggles'!$C$10=1,AVERAGE(H45,H47),H45))*$D$15</f>
        <v>1.875</v>
      </c>
      <c r="I48" s="27" t="n">
        <f aca="false">IF('0_Dashboard_Toggles'!$C$10=1,AVERAGE(I45,I47),I45)*(I$7+$D$14)+($C$15-IF('0_Dashboard_Toggles'!$C$10=1,AVERAGE(I45,I47),I45))*$D$15</f>
        <v>1.875</v>
      </c>
      <c r="J48" s="27" t="n">
        <f aca="false">IF('0_Dashboard_Toggles'!$C$10=1,AVERAGE(J45,J47),J45)*(J$7+$D$14)+($C$15-IF('0_Dashboard_Toggles'!$C$10=1,AVERAGE(J45,J47),J45))*$D$15</f>
        <v>1.875</v>
      </c>
      <c r="K48" s="27" t="n">
        <f aca="false">IF('0_Dashboard_Toggles'!$C$10=1,AVERAGE(K45,K47),K45)*(K$7+$D$14)+($C$15-IF('0_Dashboard_Toggles'!$C$10=1,AVERAGE(K45,K47),K45))*$D$15</f>
        <v>1.875</v>
      </c>
      <c r="L48" s="27" t="n">
        <f aca="false">IF('0_Dashboard_Toggles'!$C$10=1,AVERAGE(L45,L47),L45)*(L$7+$D$14)+($C$15-IF('0_Dashboard_Toggles'!$C$10=1,AVERAGE(L45,L47),L45))*$D$15</f>
        <v>1.875</v>
      </c>
    </row>
    <row r="50" customFormat="false" ht="15" hidden="false" customHeight="true" outlineLevel="0" collapsed="false">
      <c r="B50" s="6" t="s">
        <v>310</v>
      </c>
      <c r="C50" s="6"/>
      <c r="D50" s="6"/>
      <c r="E50" s="6"/>
      <c r="F50" s="6"/>
      <c r="G50" s="6"/>
      <c r="H50" s="6"/>
      <c r="I50" s="6"/>
      <c r="J50" s="6"/>
      <c r="K50" s="6"/>
      <c r="L50" s="6"/>
    </row>
    <row r="51" customFormat="false" ht="15" hidden="false" customHeight="true" outlineLevel="0" collapsed="false">
      <c r="B51" s="7" t="s">
        <v>299</v>
      </c>
      <c r="C51" s="5" t="s">
        <v>121</v>
      </c>
      <c r="F51" s="41" t="n">
        <f aca="false">E53</f>
        <v>470</v>
      </c>
      <c r="G51" s="41" t="n">
        <f aca="false">F53</f>
        <v>448.32516998927</v>
      </c>
      <c r="H51" s="41" t="n">
        <f aca="false">G53</f>
        <v>435.309361073503</v>
      </c>
      <c r="I51" s="41" t="n">
        <f aca="false">H53</f>
        <v>429.766109496844</v>
      </c>
      <c r="J51" s="41" t="n">
        <f aca="false">I53</f>
        <v>430.661513855004</v>
      </c>
      <c r="K51" s="41" t="n">
        <f aca="false">J53</f>
        <v>437.084085729267</v>
      </c>
      <c r="L51" s="41" t="n">
        <f aca="false">K53</f>
        <v>448.219916606685</v>
      </c>
    </row>
    <row r="52" customFormat="false" ht="15" hidden="false" customHeight="true" outlineLevel="0" collapsed="false">
      <c r="B52" s="7" t="s">
        <v>311</v>
      </c>
      <c r="C52" s="5" t="s">
        <v>121</v>
      </c>
      <c r="D52" s="46" t="n">
        <v>0.16</v>
      </c>
      <c r="F52" s="41" t="n">
        <f aca="false">F51*$D$52</f>
        <v>75.2</v>
      </c>
      <c r="G52" s="41" t="n">
        <f aca="false">G51*$D$52</f>
        <v>71.7320271982831</v>
      </c>
      <c r="H52" s="41" t="n">
        <f aca="false">H51*$D$52</f>
        <v>69.6494977717605</v>
      </c>
      <c r="I52" s="41" t="n">
        <f aca="false">I51*$D$52</f>
        <v>68.7625775194951</v>
      </c>
      <c r="J52" s="41" t="n">
        <f aca="false">J51*$D$52</f>
        <v>68.9058422168007</v>
      </c>
      <c r="K52" s="41" t="n">
        <f aca="false">K51*$D$52</f>
        <v>69.9334537166828</v>
      </c>
      <c r="L52" s="41" t="n">
        <f aca="false">L51*$D$52</f>
        <v>71.7151866570696</v>
      </c>
    </row>
    <row r="53" customFormat="false" ht="15" hidden="false" customHeight="true" outlineLevel="0" collapsed="false">
      <c r="B53" s="3" t="s">
        <v>312</v>
      </c>
      <c r="C53" s="5" t="s">
        <v>121</v>
      </c>
      <c r="E53" s="47" t="n">
        <f aca="false">'1_Transaction_Summary'!C23</f>
        <v>470</v>
      </c>
      <c r="F53" s="47" t="n">
        <f aca="false">F51-F52+'2_Operating_Build'!F87</f>
        <v>448.32516998927</v>
      </c>
      <c r="G53" s="47" t="n">
        <f aca="false">G51-G52+'2_Operating_Build'!G87</f>
        <v>435.309361073503</v>
      </c>
      <c r="H53" s="47" t="n">
        <f aca="false">H51-H52+'2_Operating_Build'!H87</f>
        <v>429.766109496844</v>
      </c>
      <c r="I53" s="47" t="n">
        <f aca="false">I51-I52+'2_Operating_Build'!I87</f>
        <v>430.661513855004</v>
      </c>
      <c r="J53" s="47" t="n">
        <f aca="false">J51-J52+'2_Operating_Build'!J87</f>
        <v>437.084085729267</v>
      </c>
      <c r="K53" s="47" t="n">
        <f aca="false">K51-K52+'2_Operating_Build'!K87</f>
        <v>448.219916606685</v>
      </c>
      <c r="L53" s="47" t="n">
        <f aca="false">L51-L52+'2_Operating_Build'!L87</f>
        <v>463.332510493981</v>
      </c>
    </row>
    <row r="55" customFormat="false" ht="15" hidden="false" customHeight="true" outlineLevel="0" collapsed="false">
      <c r="B55" s="6" t="s">
        <v>313</v>
      </c>
      <c r="C55" s="6"/>
      <c r="D55" s="6"/>
      <c r="E55" s="6"/>
      <c r="F55" s="6"/>
      <c r="G55" s="6"/>
      <c r="H55" s="6"/>
      <c r="I55" s="6"/>
      <c r="J55" s="6"/>
      <c r="K55" s="6"/>
      <c r="L55" s="6"/>
    </row>
    <row r="56" customFormat="false" ht="15" hidden="false" customHeight="true" outlineLevel="0" collapsed="false">
      <c r="B56" s="3" t="s">
        <v>314</v>
      </c>
      <c r="C56" s="5" t="s">
        <v>121</v>
      </c>
      <c r="F56" s="43" t="n">
        <f aca="false">F30+F37+F42+F48+F86</f>
        <v>1272.255</v>
      </c>
      <c r="G56" s="43" t="n">
        <f aca="false">G30+G37+G42+G48+G86</f>
        <v>1119.26479970914</v>
      </c>
      <c r="H56" s="43" t="n">
        <f aca="false">H30+H37+H42+H48+H86</f>
        <v>951.668777580694</v>
      </c>
      <c r="I56" s="43" t="n">
        <f aca="false">I30+I37+I42+I48+I86</f>
        <v>725.157422623906</v>
      </c>
      <c r="J56" s="43" t="n">
        <f aca="false">J30+J37+J42+J48+J86</f>
        <v>532.125</v>
      </c>
      <c r="K56" s="43" t="n">
        <f aca="false">K30+K37+K42+K48+K86</f>
        <v>532.125</v>
      </c>
      <c r="L56" s="43" t="n">
        <f aca="false">L30+L37+L42+L48+L86</f>
        <v>532.125</v>
      </c>
    </row>
    <row r="57" customFormat="false" ht="15" hidden="false" customHeight="true" outlineLevel="0" collapsed="false">
      <c r="B57" s="7" t="s">
        <v>229</v>
      </c>
      <c r="C57" s="5" t="s">
        <v>121</v>
      </c>
      <c r="F57" s="27" t="n">
        <f aca="false">IF('0_Dashboard_Toggles'!$C$10=1,AVERAGE('3_Financial_Statements'!E44,'3_Financial_Statements'!F44),'3_Financial_Statements'!E44)*$E$8</f>
        <v>47.76</v>
      </c>
      <c r="G57" s="27" t="n">
        <f aca="false">IF('0_Dashboard_Toggles'!$C$10=1,AVERAGE('3_Financial_Statements'!F44,'3_Financial_Statements'!G44),'3_Financial_Statements'!F44)*$E$8</f>
        <v>30</v>
      </c>
      <c r="H57" s="27" t="n">
        <f aca="false">IF('0_Dashboard_Toggles'!$C$10=1,AVERAGE('3_Financial_Statements'!G44,'3_Financial_Statements'!H44),'3_Financial_Statements'!G44)*$E$8</f>
        <v>30</v>
      </c>
      <c r="I57" s="27" t="n">
        <f aca="false">IF('0_Dashboard_Toggles'!$C$10=1,AVERAGE('3_Financial_Statements'!H44,'3_Financial_Statements'!I44),'3_Financial_Statements'!H44)*$E$8</f>
        <v>30</v>
      </c>
      <c r="J57" s="27" t="n">
        <f aca="false">IF('0_Dashboard_Toggles'!$C$10=1,AVERAGE('3_Financial_Statements'!I44,'3_Financial_Statements'!J44),'3_Financial_Statements'!I44)*$E$8</f>
        <v>56.8191119409518</v>
      </c>
      <c r="K57" s="27" t="n">
        <f aca="false">IF('0_Dashboard_Toggles'!$C$10=1,AVERAGE('3_Financial_Statements'!J44,'3_Financial_Statements'!K44),'3_Financial_Statements'!J44)*$E$8</f>
        <v>158.775278721331</v>
      </c>
      <c r="L57" s="27" t="n">
        <f aca="false">IF('0_Dashboard_Toggles'!$C$10=1,AVERAGE('3_Financial_Statements'!K44,'3_Financial_Statements'!L44),'3_Financial_Statements'!K44)*$E$8</f>
        <v>274.360417773599</v>
      </c>
    </row>
    <row r="58" customFormat="false" ht="15" hidden="false" customHeight="true" outlineLevel="0" collapsed="false">
      <c r="B58" s="7" t="s">
        <v>315</v>
      </c>
      <c r="C58" s="5" t="s">
        <v>121</v>
      </c>
      <c r="F58" s="27" t="n">
        <f aca="false">MIN('3_Financial_Statements'!E53,'3_Financial_Statements'!$E$53/7)</f>
        <v>69.4571428571429</v>
      </c>
      <c r="G58" s="27" t="n">
        <f aca="false">MIN('3_Financial_Statements'!F53,'3_Financial_Statements'!$E$53/7)</f>
        <v>69.4571428571429</v>
      </c>
      <c r="H58" s="27" t="n">
        <f aca="false">MIN('3_Financial_Statements'!G53,'3_Financial_Statements'!$E$53/7)</f>
        <v>69.4571428571429</v>
      </c>
      <c r="I58" s="27" t="n">
        <f aca="false">MIN('3_Financial_Statements'!H53,'3_Financial_Statements'!$E$53/7)</f>
        <v>69.4571428571429</v>
      </c>
      <c r="J58" s="27" t="n">
        <f aca="false">MIN('3_Financial_Statements'!I53,'3_Financial_Statements'!$E$53/7)</f>
        <v>69.4571428571429</v>
      </c>
      <c r="K58" s="27" t="n">
        <f aca="false">MIN('3_Financial_Statements'!J53,'3_Financial_Statements'!$E$53/7)</f>
        <v>69.4571428571429</v>
      </c>
      <c r="L58" s="41" t="n">
        <f aca="false">MIN('3_Financial_Statements'!K53,'3_Financial_Statements'!$E$53/7)</f>
        <v>69.4571428571429</v>
      </c>
    </row>
    <row r="59" customFormat="false" ht="15" hidden="false" customHeight="true" outlineLevel="0" collapsed="false">
      <c r="B59" s="7" t="s">
        <v>316</v>
      </c>
      <c r="C59" s="5" t="s">
        <v>121</v>
      </c>
      <c r="F59" s="41" t="n">
        <f aca="false">F27*(F$7+$D$11)+F34*(F$7+$D$12)+F42+F45*(F$7+$D$14)+($C$15-F45)*$D$15+F86</f>
        <v>1272.255</v>
      </c>
      <c r="G59" s="41" t="n">
        <f aca="false">G27*(G$7+$D$11)+G34*(G$7+$D$12)+G42+G45*(G$7+$D$14)+($C$15-G45)*$D$15+G86</f>
        <v>1119.26479970914</v>
      </c>
      <c r="H59" s="41" t="n">
        <f aca="false">H27*(H$7+$D$11)+H34*(H$7+$D$12)+H42+H45*(H$7+$D$14)+($C$15-H45)*$D$15+H86</f>
        <v>951.668777580694</v>
      </c>
      <c r="I59" s="41" t="n">
        <f aca="false">I27*(I$7+$D$11)+I34*(I$7+$D$12)+I42+I45*(I$7+$D$14)+($C$15-I45)*$D$15+I86</f>
        <v>725.157422623906</v>
      </c>
      <c r="J59" s="41" t="n">
        <f aca="false">J27*(J$7+$D$11)+J34*(J$7+$D$12)+J42+J45*(J$7+$D$14)+($C$15-J45)*$D$15+J86</f>
        <v>532.125</v>
      </c>
      <c r="K59" s="41" t="n">
        <f aca="false">K27*(K$7+$D$11)+K34*(K$7+$D$12)+K42+K45*(K$7+$D$14)+($C$15-K45)*$D$15+K86</f>
        <v>532.125</v>
      </c>
      <c r="L59" s="41" t="n">
        <f aca="false">L27*(L$7+$D$11)+L34*(L$7+$D$12)+L42+L45*(L$7+$D$14)+($C$15-L45)*$D$15+L86</f>
        <v>532.125</v>
      </c>
      <c r="M59" s="50" t="s">
        <v>317</v>
      </c>
    </row>
    <row r="60" customFormat="false" ht="15" hidden="false" customHeight="true" outlineLevel="0" collapsed="false">
      <c r="B60" s="63" t="s">
        <v>318</v>
      </c>
      <c r="F60" s="64" t="n">
        <f aca="false">IF('0_Dashboard_Toggles'!$C$10=1,ABS(F56-(AVERAGE(F27,F31)*(F$7+$D$11)+AVERAGE(F34,F36)*(F$7+$D$12)+F42+AVERAGE(F45,F47)*(F$7+$D$14)+($C$15-AVERAGE(F45,F47))*$D$15+F86))+ABS(F57-AVERAGE('3_Financial_Statements'!E44,'3_Financial_Statements'!F44)*$E$8),0)</f>
        <v>0</v>
      </c>
      <c r="G60" s="64" t="n">
        <f aca="false">IF('0_Dashboard_Toggles'!$C$10=1,ABS(G56-(AVERAGE(G27,G31)*(G$7+$D$11)+AVERAGE(G34,G36)*(G$7+$D$12)+G42+AVERAGE(G45,G47)*(G$7+$D$14)+($C$15-AVERAGE(G45,G47))*$D$15+G86))+ABS(G57-AVERAGE('3_Financial_Statements'!F44,'3_Financial_Statements'!G44)*$E$8),0)</f>
        <v>0</v>
      </c>
      <c r="H60" s="64" t="n">
        <f aca="false">IF('0_Dashboard_Toggles'!$C$10=1,ABS(H56-(AVERAGE(H27,H31)*(H$7+$D$11)+AVERAGE(H34,H36)*(H$7+$D$12)+H42+AVERAGE(H45,H47)*(H$7+$D$14)+($C$15-AVERAGE(H45,H47))*$D$15+H86))+ABS(H57-AVERAGE('3_Financial_Statements'!G44,'3_Financial_Statements'!H44)*$E$8),0)</f>
        <v>0</v>
      </c>
      <c r="I60" s="64" t="n">
        <f aca="false">IF('0_Dashboard_Toggles'!$C$10=1,ABS(I56-(AVERAGE(I27,I31)*(I$7+$D$11)+AVERAGE(I34,I36)*(I$7+$D$12)+I42+AVERAGE(I45,I47)*(I$7+$D$14)+($C$15-AVERAGE(I45,I47))*$D$15+I86))+ABS(I57-AVERAGE('3_Financial_Statements'!H44,'3_Financial_Statements'!I44)*$E$8),0)</f>
        <v>0</v>
      </c>
      <c r="J60" s="64" t="n">
        <f aca="false">IF('0_Dashboard_Toggles'!$C$10=1,ABS(J56-(AVERAGE(J27,J31)*(J$7+$D$11)+AVERAGE(J34,J36)*(J$7+$D$12)+J42+AVERAGE(J45,J47)*(J$7+$D$14)+($C$15-AVERAGE(J45,J47))*$D$15+J86))+ABS(J57-AVERAGE('3_Financial_Statements'!I44,'3_Financial_Statements'!J44)*$E$8),0)</f>
        <v>0</v>
      </c>
      <c r="K60" s="64" t="n">
        <f aca="false">IF('0_Dashboard_Toggles'!$C$10=1,ABS(K56-(AVERAGE(K27,K31)*(K$7+$D$11)+AVERAGE(K34,K36)*(K$7+$D$12)+K42+AVERAGE(K45,K47)*(K$7+$D$14)+($C$15-AVERAGE(K45,K47))*$D$15+K86))+ABS(K57-AVERAGE('3_Financial_Statements'!J44,'3_Financial_Statements'!K44)*$E$8),0)</f>
        <v>0</v>
      </c>
      <c r="L60" s="64" t="n">
        <f aca="false">IF('0_Dashboard_Toggles'!$C$10=1,ABS(L56-(AVERAGE(L27,L31)*(L$7+$D$11)+AVERAGE(L34,L36)*(L$7+$D$12)+L42+AVERAGE(L45,L47)*(L$7+$D$14)+($C$15-AVERAGE(L45,L47))*$D$15+L86))+ABS(L57-AVERAGE('3_Financial_Statements'!K44,'3_Financial_Statements'!L44)*$E$8),0)</f>
        <v>0</v>
      </c>
      <c r="M60" s="64" t="n">
        <f aca="false">SUM(F60:L60)</f>
        <v>0</v>
      </c>
    </row>
    <row r="61" customFormat="false" ht="15" hidden="false" customHeight="true" outlineLevel="0" collapsed="false">
      <c r="B61" s="3" t="s">
        <v>319</v>
      </c>
      <c r="C61" s="5" t="s">
        <v>121</v>
      </c>
      <c r="E61" s="43" t="n">
        <f aca="false">E31+E36+E41+E47+E85</f>
        <v>19700</v>
      </c>
      <c r="F61" s="43" t="n">
        <f aca="false">F31+F36+F41+F47+F85</f>
        <v>16661.0972423696</v>
      </c>
      <c r="G61" s="43" t="n">
        <f aca="false">G31+G36+G41+G47+G85</f>
        <v>13729.4250409634</v>
      </c>
      <c r="H61" s="43" t="n">
        <f aca="false">H31+H36+H41+H47+H85</f>
        <v>10086.1316034985</v>
      </c>
      <c r="I61" s="43" t="n">
        <f aca="false">I31+I36+I41+I47+I85</f>
        <v>7070</v>
      </c>
      <c r="J61" s="43" t="n">
        <f aca="false">J31+J36+J41+J47+J85</f>
        <v>7070</v>
      </c>
      <c r="K61" s="43" t="n">
        <f aca="false">K31+K36+K41+K47+K85</f>
        <v>7070</v>
      </c>
      <c r="L61" s="43" t="n">
        <f aca="false">L31+L36+L41+L47+L85</f>
        <v>7070</v>
      </c>
    </row>
    <row r="62" customFormat="false" ht="15" hidden="false" customHeight="true" outlineLevel="0" collapsed="false">
      <c r="B62" s="7" t="s">
        <v>320</v>
      </c>
      <c r="C62" s="5" t="s">
        <v>121</v>
      </c>
      <c r="E62" s="27" t="n">
        <f aca="false">E61-'3_Financial_Statements'!E44</f>
        <v>17312</v>
      </c>
      <c r="F62" s="27" t="n">
        <f aca="false">F61-'3_Financial_Statements'!F44</f>
        <v>15161.0972423696</v>
      </c>
      <c r="G62" s="27" t="n">
        <f aca="false">G61-'3_Financial_Statements'!G44</f>
        <v>12229.4250409634</v>
      </c>
      <c r="H62" s="27" t="n">
        <f aca="false">H61-'3_Financial_Statements'!H44</f>
        <v>8586.13160349854</v>
      </c>
      <c r="I62" s="27" t="n">
        <f aca="false">I61-'3_Financial_Statements'!I44</f>
        <v>4229.04440295241</v>
      </c>
      <c r="J62" s="27" t="n">
        <f aca="false">J61-'3_Financial_Statements'!J44</f>
        <v>-868.763936066536</v>
      </c>
      <c r="K62" s="27" t="n">
        <f aca="false">K61-'3_Financial_Statements'!K44</f>
        <v>-6648.02088867993</v>
      </c>
      <c r="L62" s="27" t="n">
        <f aca="false">L61-'3_Financial_Statements'!L44</f>
        <v>-13144.7293153741</v>
      </c>
    </row>
    <row r="63" customFormat="false" ht="15" hidden="false" customHeight="true" outlineLevel="0" collapsed="false">
      <c r="B63" s="7" t="s">
        <v>321</v>
      </c>
      <c r="C63" s="5" t="s">
        <v>121</v>
      </c>
      <c r="E63" s="27" t="n">
        <f aca="false">'2_Operating_Build'!E79</f>
        <v>3282.595</v>
      </c>
      <c r="F63" s="27" t="n">
        <f aca="false">'2_Operating_Build'!F79</f>
        <v>3757.22499173529</v>
      </c>
      <c r="G63" s="27" t="n">
        <f aca="false">'2_Operating_Build'!G79</f>
        <v>4492.14504493392</v>
      </c>
      <c r="H63" s="27" t="n">
        <f aca="false">'2_Operating_Build'!H79</f>
        <v>5306.72565985412</v>
      </c>
      <c r="I63" s="27" t="n">
        <f aca="false">'2_Operating_Build'!I79</f>
        <v>6015.45360555398</v>
      </c>
      <c r="J63" s="27" t="n">
        <f aca="false">'2_Operating_Build'!J79</f>
        <v>6772.66546809352</v>
      </c>
      <c r="K63" s="27" t="n">
        <f aca="false">'2_Operating_Build'!K79</f>
        <v>7575.0916671607</v>
      </c>
      <c r="L63" s="27" t="n">
        <f aca="false">'2_Operating_Build'!L79</f>
        <v>8418.422305688</v>
      </c>
    </row>
    <row r="64" customFormat="false" ht="15" hidden="false" customHeight="true" outlineLevel="0" collapsed="false">
      <c r="B64" s="7" t="s">
        <v>322</v>
      </c>
      <c r="C64" s="5" t="s">
        <v>156</v>
      </c>
      <c r="E64" s="17" t="n">
        <f aca="false">E61/E63</f>
        <v>6.00134954205438</v>
      </c>
      <c r="F64" s="17" t="n">
        <f aca="false">F61/F63</f>
        <v>4.43441563361758</v>
      </c>
      <c r="G64" s="17" t="n">
        <f aca="false">G61/G63</f>
        <v>3.05631828528043</v>
      </c>
      <c r="H64" s="17" t="n">
        <f aca="false">H61/H63</f>
        <v>1.90063181140134</v>
      </c>
      <c r="I64" s="17" t="n">
        <f aca="false">I61/I63</f>
        <v>1.17530621356175</v>
      </c>
      <c r="J64" s="17" t="n">
        <f aca="false">J61/J63</f>
        <v>1.04390214359579</v>
      </c>
      <c r="K64" s="17" t="n">
        <f aca="false">K61/K63</f>
        <v>0.93332203894636</v>
      </c>
      <c r="L64" s="17" t="n">
        <f aca="false">L61/L63</f>
        <v>0.83982482029003</v>
      </c>
    </row>
    <row r="65" customFormat="false" ht="15" hidden="false" customHeight="true" outlineLevel="0" collapsed="false">
      <c r="B65" s="7" t="s">
        <v>323</v>
      </c>
      <c r="C65" s="5" t="s">
        <v>156</v>
      </c>
      <c r="E65" s="17" t="n">
        <f aca="false">E62/E63</f>
        <v>5.27387630822566</v>
      </c>
      <c r="F65" s="17" t="n">
        <f aca="false">F62/F63</f>
        <v>4.03518481744353</v>
      </c>
      <c r="G65" s="17" t="n">
        <f aca="false">G62/G63</f>
        <v>2.72240208600461</v>
      </c>
      <c r="H65" s="17" t="n">
        <f aca="false">H62/H63</f>
        <v>1.61797163709694</v>
      </c>
      <c r="I65" s="17" t="n">
        <f aca="false">I62/I63</f>
        <v>0.703030009083238</v>
      </c>
      <c r="J65" s="17" t="n">
        <f aca="false">J62/J63</f>
        <v>-0.128275040330774</v>
      </c>
      <c r="K65" s="17" t="n">
        <f aca="false">K62/K63</f>
        <v>-0.877615899686102</v>
      </c>
      <c r="L65" s="17" t="n">
        <f aca="false">L62/L63</f>
        <v>-1.56142431895971</v>
      </c>
    </row>
    <row r="66" customFormat="false" ht="15" hidden="false" customHeight="true" outlineLevel="0" collapsed="false">
      <c r="B66" s="7" t="s">
        <v>324</v>
      </c>
      <c r="C66" s="5" t="s">
        <v>156</v>
      </c>
      <c r="F66" s="17" t="n">
        <f aca="false">F63/F56</f>
        <v>2.95320119923702</v>
      </c>
      <c r="G66" s="17" t="n">
        <f aca="false">G63/G56</f>
        <v>4.01347835302358</v>
      </c>
      <c r="H66" s="17" t="n">
        <f aca="false">H63/H56</f>
        <v>5.57623175717158</v>
      </c>
      <c r="I66" s="17" t="n">
        <f aca="false">I63/I56</f>
        <v>8.29537617333859</v>
      </c>
      <c r="J66" s="17" t="n">
        <f aca="false">J63/J56</f>
        <v>12.7275836844605</v>
      </c>
      <c r="K66" s="17" t="n">
        <f aca="false">K63/K56</f>
        <v>14.2355492922917</v>
      </c>
      <c r="L66" s="17" t="n">
        <f aca="false">L63/L56</f>
        <v>15.8203848826648</v>
      </c>
    </row>
    <row r="67" customFormat="false" ht="15" hidden="false" customHeight="true" outlineLevel="0" collapsed="false">
      <c r="B67" s="7" t="s">
        <v>325</v>
      </c>
      <c r="C67" s="5" t="s">
        <v>152</v>
      </c>
      <c r="F67" s="45" t="n">
        <f aca="false">1-F61/$E$61</f>
        <v>0.154259023229968</v>
      </c>
      <c r="G67" s="45" t="n">
        <f aca="false">1-G61/$E$61</f>
        <v>0.303074871017086</v>
      </c>
      <c r="H67" s="45" t="n">
        <f aca="false">1-H61/$E$61</f>
        <v>0.488013624187892</v>
      </c>
      <c r="I67" s="45" t="n">
        <f aca="false">1-I61/$E$61</f>
        <v>0.641116751269036</v>
      </c>
      <c r="J67" s="45" t="n">
        <f aca="false">1-J61/$E$61</f>
        <v>0.641116751269036</v>
      </c>
      <c r="K67" s="45" t="n">
        <f aca="false">1-K61/$E$61</f>
        <v>0.641116751269036</v>
      </c>
      <c r="L67" s="45" t="n">
        <f aca="false">1-L61/$E$61</f>
        <v>0.641116751269036</v>
      </c>
    </row>
    <row r="68" customFormat="false" ht="15" hidden="false" customHeight="true" outlineLevel="0" collapsed="false">
      <c r="B68" s="7" t="s">
        <v>326</v>
      </c>
      <c r="C68" s="5" t="s">
        <v>327</v>
      </c>
      <c r="D68" s="5" t="s">
        <v>328</v>
      </c>
      <c r="F68" s="65" t="str">
        <f aca="false">IF(F65&gt;$D$69,"BREACH","OK")</f>
        <v>OK</v>
      </c>
      <c r="G68" s="65" t="str">
        <f aca="false">IF(G65&gt;$D$69,"BREACH","OK")</f>
        <v>OK</v>
      </c>
      <c r="H68" s="65" t="str">
        <f aca="false">IF(H65&gt;$D$69,"BREACH","OK")</f>
        <v>OK</v>
      </c>
      <c r="I68" s="65" t="str">
        <f aca="false">IF(I65&gt;$D$69,"BREACH","OK")</f>
        <v>OK</v>
      </c>
      <c r="J68" s="65" t="str">
        <f aca="false">IF(J65&gt;$D$69,"BREACH","OK")</f>
        <v>OK</v>
      </c>
      <c r="K68" s="65" t="str">
        <f aca="false">IF(K65&gt;$D$69,"BREACH","OK")</f>
        <v>OK</v>
      </c>
      <c r="L68" s="65" t="str">
        <f aca="false">IF(L65&gt;$D$69,"BREACH","OK")</f>
        <v>OK</v>
      </c>
    </row>
    <row r="69" customFormat="false" ht="15" hidden="false" customHeight="true" outlineLevel="0" collapsed="false">
      <c r="B69" s="7" t="s">
        <v>329</v>
      </c>
      <c r="D69" s="66" t="n">
        <v>7</v>
      </c>
    </row>
    <row r="72" customFormat="false" ht="15" hidden="false" customHeight="true" outlineLevel="0" collapsed="false">
      <c r="A72" s="7"/>
      <c r="B72" s="6" t="s">
        <v>330</v>
      </c>
      <c r="C72" s="6"/>
      <c r="D72" s="6"/>
      <c r="E72" s="6"/>
      <c r="F72" s="6"/>
      <c r="G72" s="6"/>
      <c r="H72" s="6"/>
      <c r="I72" s="6"/>
      <c r="J72" s="6"/>
      <c r="K72" s="6"/>
      <c r="L72" s="6"/>
      <c r="M72" s="7"/>
    </row>
    <row r="73" customFormat="false" ht="15" hidden="false" customHeight="true" outlineLevel="0" collapsed="false">
      <c r="A73" s="7"/>
      <c r="B73" s="7" t="s">
        <v>331</v>
      </c>
      <c r="C73" s="13" t="n">
        <v>0</v>
      </c>
      <c r="D73" s="5" t="s">
        <v>332</v>
      </c>
      <c r="E73" s="7"/>
      <c r="F73" s="7"/>
      <c r="G73" s="7"/>
      <c r="H73" s="7"/>
      <c r="I73" s="7"/>
      <c r="J73" s="7"/>
      <c r="K73" s="7"/>
      <c r="L73" s="7"/>
      <c r="M73" s="7"/>
    </row>
    <row r="74" customFormat="false" ht="15" hidden="false" customHeight="true" outlineLevel="0" collapsed="false">
      <c r="A74" s="7"/>
      <c r="B74" s="7" t="s">
        <v>333</v>
      </c>
      <c r="C74" s="13" t="n">
        <v>2031</v>
      </c>
      <c r="D74" s="5" t="s">
        <v>334</v>
      </c>
      <c r="E74" s="7"/>
      <c r="F74" s="7"/>
      <c r="G74" s="7"/>
      <c r="H74" s="7"/>
      <c r="I74" s="7"/>
      <c r="J74" s="7"/>
      <c r="K74" s="7"/>
      <c r="L74" s="7"/>
      <c r="M74" s="7"/>
    </row>
    <row r="75" customFormat="false" ht="15" hidden="false" customHeight="true" outlineLevel="0" collapsed="false">
      <c r="A75" s="7"/>
      <c r="B75" s="7" t="s">
        <v>335</v>
      </c>
      <c r="C75" s="15" t="n">
        <v>4</v>
      </c>
      <c r="D75" s="5" t="s">
        <v>336</v>
      </c>
      <c r="E75" s="7"/>
      <c r="F75" s="7"/>
      <c r="G75" s="7"/>
      <c r="H75" s="7"/>
      <c r="I75" s="7"/>
      <c r="J75" s="7"/>
      <c r="K75" s="7"/>
      <c r="L75" s="7"/>
      <c r="M75" s="7"/>
    </row>
    <row r="76" customFormat="false" ht="15" hidden="false" customHeight="true" outlineLevel="0" collapsed="false">
      <c r="A76" s="7"/>
      <c r="B76" s="7" t="s">
        <v>337</v>
      </c>
      <c r="C76" s="10" t="n">
        <v>1</v>
      </c>
      <c r="D76" s="5" t="s">
        <v>338</v>
      </c>
      <c r="E76" s="7"/>
      <c r="F76" s="7"/>
      <c r="G76" s="7"/>
      <c r="H76" s="7"/>
      <c r="I76" s="7"/>
      <c r="J76" s="7"/>
      <c r="K76" s="7"/>
      <c r="L76" s="7"/>
      <c r="M76" s="7"/>
    </row>
    <row r="77" customFormat="false" ht="15" hidden="false" customHeight="true" outlineLevel="0" collapsed="false">
      <c r="A77" s="7"/>
      <c r="B77" s="7" t="s">
        <v>339</v>
      </c>
      <c r="C77" s="67" t="n">
        <v>0.075</v>
      </c>
      <c r="D77" s="5" t="s">
        <v>340</v>
      </c>
      <c r="E77" s="7"/>
      <c r="F77" s="7"/>
      <c r="G77" s="7"/>
      <c r="H77" s="7"/>
      <c r="I77" s="7"/>
      <c r="J77" s="7"/>
      <c r="K77" s="7"/>
      <c r="L77" s="7"/>
      <c r="M77" s="7"/>
    </row>
    <row r="78" customFormat="false" ht="15" hidden="false" customHeight="true" outlineLevel="0" collapsed="false">
      <c r="A78" s="7"/>
      <c r="B78" s="7" t="s">
        <v>341</v>
      </c>
      <c r="C78" s="67" t="n">
        <v>0.0225</v>
      </c>
      <c r="D78" s="5" t="s">
        <v>342</v>
      </c>
      <c r="E78" s="7"/>
      <c r="F78" s="7"/>
      <c r="G78" s="7"/>
      <c r="H78" s="7"/>
      <c r="I78" s="7"/>
      <c r="J78" s="7"/>
      <c r="K78" s="7"/>
      <c r="L78" s="7"/>
      <c r="M78" s="7"/>
    </row>
    <row r="79" customFormat="false" ht="15" hidden="false" customHeight="true" outlineLevel="0" collapsed="false">
      <c r="A79" s="7"/>
      <c r="B79" s="7" t="s">
        <v>343</v>
      </c>
      <c r="C79" s="13" t="n">
        <v>1</v>
      </c>
      <c r="D79" s="5" t="s">
        <v>344</v>
      </c>
      <c r="E79" s="7"/>
      <c r="F79" s="7"/>
      <c r="G79" s="7"/>
      <c r="H79" s="7"/>
      <c r="I79" s="7"/>
      <c r="J79" s="7"/>
      <c r="K79" s="7"/>
      <c r="L79" s="7"/>
      <c r="M79" s="7"/>
    </row>
    <row r="80" customFormat="false" ht="15" hidden="false" customHeight="true" outlineLevel="0" collapsed="false">
      <c r="A80" s="7"/>
      <c r="B80" s="7"/>
      <c r="C80" s="7"/>
      <c r="D80" s="7"/>
      <c r="E80" s="7"/>
      <c r="F80" s="7"/>
      <c r="G80" s="7"/>
      <c r="H80" s="7"/>
      <c r="I80" s="7"/>
      <c r="J80" s="7"/>
      <c r="K80" s="7"/>
      <c r="L80" s="7"/>
      <c r="M80" s="7"/>
    </row>
    <row r="81" customFormat="false" ht="15" hidden="false" customHeight="true" outlineLevel="0" collapsed="false">
      <c r="A81" s="7"/>
      <c r="B81" s="3" t="s">
        <v>148</v>
      </c>
      <c r="C81" s="7"/>
      <c r="D81" s="7"/>
      <c r="E81" s="68" t="n">
        <f aca="false">E3</f>
        <v>2026</v>
      </c>
      <c r="F81" s="68" t="n">
        <f aca="false">F3</f>
        <v>2027</v>
      </c>
      <c r="G81" s="68" t="n">
        <f aca="false">G3</f>
        <v>2028</v>
      </c>
      <c r="H81" s="68" t="n">
        <f aca="false">H3</f>
        <v>2029</v>
      </c>
      <c r="I81" s="68" t="n">
        <f aca="false">I3</f>
        <v>2030</v>
      </c>
      <c r="J81" s="68" t="n">
        <f aca="false">J3</f>
        <v>2031</v>
      </c>
      <c r="K81" s="68" t="n">
        <f aca="false">K3</f>
        <v>2032</v>
      </c>
      <c r="L81" s="68" t="n">
        <f aca="false">L3</f>
        <v>2033</v>
      </c>
      <c r="M81" s="7"/>
    </row>
    <row r="82" customFormat="false" ht="15" hidden="false" customHeight="true" outlineLevel="0" collapsed="false">
      <c r="A82" s="7"/>
      <c r="B82" s="7" t="s">
        <v>345</v>
      </c>
      <c r="C82" s="7"/>
      <c r="D82" s="7"/>
      <c r="E82" s="7"/>
      <c r="F82" s="9" t="n">
        <f aca="false">IF(AND($C$73=1,F$3=$C$74),1,0)</f>
        <v>0</v>
      </c>
      <c r="G82" s="9" t="n">
        <f aca="false">IF(AND($C$73=1,G$3=$C$74),1,0)</f>
        <v>0</v>
      </c>
      <c r="H82" s="9" t="n">
        <f aca="false">IF(AND($C$73=1,H$3=$C$74),1,0)</f>
        <v>0</v>
      </c>
      <c r="I82" s="9" t="n">
        <f aca="false">IF(AND($C$73=1,I$3=$C$74),1,0)</f>
        <v>0</v>
      </c>
      <c r="J82" s="9" t="n">
        <f aca="false">IF(AND($C$73=1,J$3=$C$74),1,0)</f>
        <v>0</v>
      </c>
      <c r="K82" s="9" t="n">
        <f aca="false">IF(AND($C$73=1,K$3=$C$74),1,0)</f>
        <v>0</v>
      </c>
      <c r="L82" s="9" t="n">
        <f aca="false">IF(AND($C$73=1,L$3=$C$74),1,0)</f>
        <v>0</v>
      </c>
      <c r="M82" s="7"/>
    </row>
    <row r="83" customFormat="false" ht="15" hidden="false" customHeight="true" outlineLevel="0" collapsed="false">
      <c r="A83" s="7"/>
      <c r="B83" s="7" t="s">
        <v>346</v>
      </c>
      <c r="C83" s="7"/>
      <c r="D83" s="7"/>
      <c r="E83" s="7"/>
      <c r="F83" s="41" t="n">
        <f aca="false">E85</f>
        <v>0</v>
      </c>
      <c r="G83" s="41" t="n">
        <f aca="false">F85</f>
        <v>0</v>
      </c>
      <c r="H83" s="41" t="n">
        <f aca="false">G85</f>
        <v>0</v>
      </c>
      <c r="I83" s="41" t="n">
        <f aca="false">H85</f>
        <v>0</v>
      </c>
      <c r="J83" s="41" t="n">
        <f aca="false">I85</f>
        <v>0</v>
      </c>
      <c r="K83" s="41" t="n">
        <f aca="false">J85</f>
        <v>0</v>
      </c>
      <c r="L83" s="41" t="n">
        <f aca="false">K85</f>
        <v>0</v>
      </c>
      <c r="M83" s="7"/>
    </row>
    <row r="84" customFormat="false" ht="15" hidden="false" customHeight="true" outlineLevel="0" collapsed="false">
      <c r="A84" s="7"/>
      <c r="B84" s="7" t="s">
        <v>347</v>
      </c>
      <c r="C84" s="7"/>
      <c r="D84" s="7"/>
      <c r="E84" s="7"/>
      <c r="F84" s="41" t="n">
        <f aca="false">F82*MAX(0,$C$75*F63-(F31+F36+F41+F47+F83))</f>
        <v>0</v>
      </c>
      <c r="G84" s="41" t="n">
        <f aca="false">G82*MAX(0,$C$75*G63-(G31+G36+G41+G47+G83))</f>
        <v>0</v>
      </c>
      <c r="H84" s="41" t="n">
        <f aca="false">H82*MAX(0,$C$75*H63-(H31+H36+H41+H47+H83))</f>
        <v>0</v>
      </c>
      <c r="I84" s="41" t="n">
        <f aca="false">I82*MAX(0,$C$75*I63-(I31+I36+I41+I47+I83))</f>
        <v>0</v>
      </c>
      <c r="J84" s="41" t="n">
        <f aca="false">J82*MAX(0,$C$75*J63-(J31+J36+J41+J47+J83))</f>
        <v>0</v>
      </c>
      <c r="K84" s="41" t="n">
        <f aca="false">K82*MAX(0,$C$75*K63-(K31+K36+K41+K47+K83))</f>
        <v>0</v>
      </c>
      <c r="L84" s="41" t="n">
        <f aca="false">L82*MAX(0,$C$75*L63-(L31+L36+L41+L47+L83))</f>
        <v>0</v>
      </c>
      <c r="M84" s="7"/>
    </row>
    <row r="85" customFormat="false" ht="15" hidden="false" customHeight="true" outlineLevel="0" collapsed="false">
      <c r="A85" s="7"/>
      <c r="B85" s="3" t="s">
        <v>348</v>
      </c>
      <c r="C85" s="7"/>
      <c r="D85" s="7"/>
      <c r="E85" s="44" t="n">
        <v>0</v>
      </c>
      <c r="F85" s="43" t="n">
        <f aca="false">F83+F84</f>
        <v>0</v>
      </c>
      <c r="G85" s="43" t="n">
        <f aca="false">G83+G84</f>
        <v>0</v>
      </c>
      <c r="H85" s="43" t="n">
        <f aca="false">H83+H84</f>
        <v>0</v>
      </c>
      <c r="I85" s="43" t="n">
        <f aca="false">I83+I84</f>
        <v>0</v>
      </c>
      <c r="J85" s="43" t="n">
        <f aca="false">J83+J84</f>
        <v>0</v>
      </c>
      <c r="K85" s="43" t="n">
        <f aca="false">K83+K84</f>
        <v>0</v>
      </c>
      <c r="L85" s="43" t="n">
        <f aca="false">L83+L84</f>
        <v>0</v>
      </c>
      <c r="M85" s="7"/>
    </row>
    <row r="86" customFormat="false" ht="15" hidden="false" customHeight="true" outlineLevel="0" collapsed="false">
      <c r="A86" s="7"/>
      <c r="B86" s="7" t="s">
        <v>349</v>
      </c>
      <c r="C86" s="7"/>
      <c r="D86" s="7"/>
      <c r="E86" s="7"/>
      <c r="F86" s="41" t="n">
        <f aca="false">F83*$C$77</f>
        <v>0</v>
      </c>
      <c r="G86" s="41" t="n">
        <f aca="false">G83*$C$77</f>
        <v>0</v>
      </c>
      <c r="H86" s="41" t="n">
        <f aca="false">H83*$C$77</f>
        <v>0</v>
      </c>
      <c r="I86" s="41" t="n">
        <f aca="false">I83*$C$77</f>
        <v>0</v>
      </c>
      <c r="J86" s="41" t="n">
        <f aca="false">J83*$C$77</f>
        <v>0</v>
      </c>
      <c r="K86" s="41" t="n">
        <f aca="false">K83*$C$77</f>
        <v>0</v>
      </c>
      <c r="L86" s="41" t="n">
        <f aca="false">L83*$C$77</f>
        <v>0</v>
      </c>
      <c r="M86" s="7"/>
    </row>
    <row r="87" customFormat="false" ht="15" hidden="false" customHeight="true" outlineLevel="0" collapsed="false">
      <c r="A87" s="7"/>
      <c r="B87" s="7" t="s">
        <v>350</v>
      </c>
      <c r="C87" s="7"/>
      <c r="D87" s="7"/>
      <c r="E87" s="7"/>
      <c r="F87" s="41" t="n">
        <f aca="false">F84*$C$78</f>
        <v>0</v>
      </c>
      <c r="G87" s="41" t="n">
        <f aca="false">G84*$C$78</f>
        <v>0</v>
      </c>
      <c r="H87" s="41" t="n">
        <f aca="false">H84*$C$78</f>
        <v>0</v>
      </c>
      <c r="I87" s="41" t="n">
        <f aca="false">I84*$C$78</f>
        <v>0</v>
      </c>
      <c r="J87" s="41" t="n">
        <f aca="false">J84*$C$78</f>
        <v>0</v>
      </c>
      <c r="K87" s="41" t="n">
        <f aca="false">K84*$C$78</f>
        <v>0</v>
      </c>
      <c r="L87" s="41" t="n">
        <f aca="false">L84*$C$78</f>
        <v>0</v>
      </c>
      <c r="M87" s="7"/>
    </row>
    <row r="88" customFormat="false" ht="15" hidden="false" customHeight="true" outlineLevel="0" collapsed="false">
      <c r="A88" s="7"/>
      <c r="B88" s="7" t="s">
        <v>351</v>
      </c>
      <c r="C88" s="7"/>
      <c r="D88" s="7"/>
      <c r="E88" s="7"/>
      <c r="F88" s="27" t="n">
        <f aca="false">'3_Financial_Statements'!F43+'3_Financial_Statements'!F36+SUM('3_Financial_Statements'!F38:F41)</f>
        <v>1500</v>
      </c>
      <c r="G88" s="27" t="n">
        <f aca="false">'3_Financial_Statements'!G43+'3_Financial_Statements'!G36+SUM('3_Financial_Statements'!G38:G41)</f>
        <v>1500</v>
      </c>
      <c r="H88" s="27" t="n">
        <f aca="false">'3_Financial_Statements'!H43+'3_Financial_Statements'!H36+SUM('3_Financial_Statements'!H38:H41)</f>
        <v>1500</v>
      </c>
      <c r="I88" s="27" t="n">
        <f aca="false">'3_Financial_Statements'!I43+'3_Financial_Statements'!I36+SUM('3_Financial_Statements'!I38:I41)</f>
        <v>2840.95559704759</v>
      </c>
      <c r="J88" s="27" t="n">
        <f aca="false">'3_Financial_Statements'!J43+'3_Financial_Statements'!J36+SUM('3_Financial_Statements'!J38:J41)</f>
        <v>7938.76393606654</v>
      </c>
      <c r="K88" s="27" t="n">
        <f aca="false">'3_Financial_Statements'!K43+'3_Financial_Statements'!K36+SUM('3_Financial_Statements'!K38:K41)</f>
        <v>13718.0208886799</v>
      </c>
      <c r="L88" s="27" t="n">
        <f aca="false">'3_Financial_Statements'!L43+'3_Financial_Statements'!L36+SUM('3_Financial_Statements'!L38:L41)</f>
        <v>20214.7293153741</v>
      </c>
      <c r="M88" s="7"/>
    </row>
    <row r="89" customFormat="false" ht="15" hidden="false" customHeight="true" outlineLevel="0" collapsed="false">
      <c r="A89" s="7"/>
      <c r="B89" s="3" t="s">
        <v>352</v>
      </c>
      <c r="C89" s="7"/>
      <c r="D89" s="7"/>
      <c r="E89" s="7"/>
      <c r="F89" s="43" t="n">
        <f aca="false">F90+F91</f>
        <v>0</v>
      </c>
      <c r="G89" s="43" t="n">
        <f aca="false">G90+G91</f>
        <v>0</v>
      </c>
      <c r="H89" s="43" t="n">
        <f aca="false">H90+H91</f>
        <v>0</v>
      </c>
      <c r="I89" s="43" t="n">
        <f aca="false">I90+I91</f>
        <v>0</v>
      </c>
      <c r="J89" s="43" t="n">
        <f aca="false">J90+J91</f>
        <v>0</v>
      </c>
      <c r="K89" s="43" t="n">
        <f aca="false">K90+K91</f>
        <v>0</v>
      </c>
      <c r="L89" s="43" t="n">
        <f aca="false">L90+L91</f>
        <v>0</v>
      </c>
      <c r="M89" s="7"/>
    </row>
    <row r="90" customFormat="false" ht="15" hidden="false" customHeight="true" outlineLevel="0" collapsed="false">
      <c r="A90" s="7"/>
      <c r="B90" s="7" t="s">
        <v>353</v>
      </c>
      <c r="C90" s="7"/>
      <c r="D90" s="7"/>
      <c r="E90" s="7"/>
      <c r="F90" s="41" t="n">
        <f aca="false">IF($C$73=1,IF($C$79=1,IF(F$3&gt;=$C$74,1,0),F82)*$C$76*MAX(0,F88-'0_Dashboard_Toggles'!$C$13),0)</f>
        <v>0</v>
      </c>
      <c r="G90" s="41" t="n">
        <f aca="false">IF($C$73=1,IF($C$79=1,IF(G$3&gt;=$C$74,1,0),G82)*$C$76*MAX(0,G88-'0_Dashboard_Toggles'!$C$13),0)</f>
        <v>0</v>
      </c>
      <c r="H90" s="41" t="n">
        <f aca="false">IF($C$73=1,IF($C$79=1,IF(H$3&gt;=$C$74,1,0),H82)*$C$76*MAX(0,H88-'0_Dashboard_Toggles'!$C$13),0)</f>
        <v>0</v>
      </c>
      <c r="I90" s="41" t="n">
        <f aca="false">IF($C$73=1,IF($C$79=1,IF(I$3&gt;=$C$74,1,0),I82)*$C$76*MAX(0,I88-'0_Dashboard_Toggles'!$C$13),0)</f>
        <v>0</v>
      </c>
      <c r="J90" s="41" t="n">
        <f aca="false">IF($C$73=1,IF($C$79=1,IF(J$3&gt;=$C$74,1,0),J82)*$C$76*MAX(0,J88-'0_Dashboard_Toggles'!$C$13),0)</f>
        <v>0</v>
      </c>
      <c r="K90" s="41" t="n">
        <f aca="false">IF($C$73=1,IF($C$79=1,IF(K$3&gt;=$C$74,1,0),K82)*$C$76*MAX(0,K88-'0_Dashboard_Toggles'!$C$13),0)</f>
        <v>0</v>
      </c>
      <c r="L90" s="41" t="n">
        <f aca="false">IF($C$73=1,IF($C$79=1,IF(L$3&gt;=$C$74,1,0),L82)*$C$76*MAX(0,L88-'0_Dashboard_Toggles'!$C$13),0)</f>
        <v>0</v>
      </c>
      <c r="M90" s="7"/>
    </row>
    <row r="91" customFormat="false" ht="15" hidden="false" customHeight="true" outlineLevel="0" collapsed="false">
      <c r="A91" s="7"/>
      <c r="B91" s="7" t="s">
        <v>354</v>
      </c>
      <c r="C91" s="7"/>
      <c r="D91" s="7"/>
      <c r="E91" s="7"/>
      <c r="F91" s="41" t="n">
        <f aca="false">F84-F87</f>
        <v>0</v>
      </c>
      <c r="G91" s="41" t="n">
        <f aca="false">G84-G87</f>
        <v>0</v>
      </c>
      <c r="H91" s="41" t="n">
        <f aca="false">H84-H87</f>
        <v>0</v>
      </c>
      <c r="I91" s="41" t="n">
        <f aca="false">I84-I87</f>
        <v>0</v>
      </c>
      <c r="J91" s="41" t="n">
        <f aca="false">J84-J87</f>
        <v>0</v>
      </c>
      <c r="K91" s="41" t="n">
        <f aca="false">K84-K87</f>
        <v>0</v>
      </c>
      <c r="L91" s="41" t="n">
        <f aca="false">L84-L87</f>
        <v>0</v>
      </c>
      <c r="M91" s="7"/>
    </row>
    <row r="92" customFormat="false" ht="15" hidden="false" customHeight="true" outlineLevel="0" collapsed="false">
      <c r="A92" s="7"/>
      <c r="B92" s="7"/>
      <c r="C92" s="7"/>
      <c r="D92" s="7"/>
      <c r="E92" s="7"/>
      <c r="F92" s="7"/>
      <c r="G92" s="7"/>
      <c r="H92" s="7"/>
      <c r="I92" s="7"/>
      <c r="J92" s="7"/>
      <c r="K92" s="7"/>
      <c r="L92" s="7"/>
      <c r="M92" s="7"/>
    </row>
    <row r="93" customFormat="false" ht="15" hidden="false" customHeight="true" outlineLevel="0" collapsed="false">
      <c r="A93" s="7"/>
      <c r="B93" s="5" t="s">
        <v>355</v>
      </c>
      <c r="C93" s="7"/>
      <c r="D93" s="7"/>
      <c r="E93" s="7"/>
      <c r="F93" s="7"/>
      <c r="G93" s="7"/>
      <c r="H93" s="7"/>
      <c r="I93" s="7"/>
      <c r="J93" s="7"/>
      <c r="K93" s="7"/>
      <c r="L93" s="7"/>
      <c r="M93" s="7"/>
    </row>
    <row r="94" customFormat="false" ht="15" hidden="false" customHeight="true" outlineLevel="0" collapsed="false">
      <c r="A94" s="7"/>
      <c r="B94" s="7"/>
      <c r="C94" s="7"/>
      <c r="D94" s="7"/>
      <c r="E94" s="7"/>
      <c r="F94" s="7"/>
      <c r="G94" s="7"/>
      <c r="H94" s="7"/>
      <c r="I94" s="7"/>
      <c r="J94" s="7"/>
      <c r="K94" s="7"/>
      <c r="L94" s="7"/>
      <c r="M94" s="7"/>
    </row>
    <row r="95" customFormat="false" ht="15" hidden="false" customHeight="true" outlineLevel="0" collapsed="false">
      <c r="A95" s="7"/>
      <c r="B95" s="5" t="s">
        <v>356</v>
      </c>
      <c r="C95" s="7"/>
      <c r="D95" s="7"/>
      <c r="E95" s="7"/>
      <c r="F95" s="7"/>
      <c r="G95" s="7"/>
      <c r="H95" s="7"/>
      <c r="I95" s="7"/>
      <c r="J95" s="7"/>
      <c r="K95" s="7"/>
      <c r="L95" s="7"/>
      <c r="M95" s="7"/>
    </row>
    <row r="96" customFormat="false" ht="15" hidden="false" customHeight="true" outlineLevel="0" collapsed="false">
      <c r="A96" s="7"/>
      <c r="B96" s="5" t="s">
        <v>357</v>
      </c>
      <c r="C96" s="7"/>
      <c r="D96" s="7"/>
      <c r="E96" s="7"/>
      <c r="F96" s="7"/>
      <c r="G96" s="7"/>
      <c r="H96" s="7"/>
      <c r="I96" s="7"/>
      <c r="J96" s="7"/>
      <c r="K96" s="7"/>
      <c r="L96" s="7"/>
      <c r="M96" s="7"/>
    </row>
    <row r="97" customFormat="false" ht="15" hidden="false" customHeight="true" outlineLevel="0" collapsed="false">
      <c r="A97" s="7"/>
      <c r="B97" s="7"/>
      <c r="C97" s="7"/>
      <c r="D97" s="7"/>
      <c r="E97" s="7"/>
      <c r="F97" s="7"/>
      <c r="G97" s="7"/>
      <c r="H97" s="7"/>
      <c r="I97" s="7"/>
      <c r="J97" s="7"/>
      <c r="K97" s="7"/>
      <c r="L97" s="7"/>
      <c r="M97" s="7"/>
    </row>
    <row r="98" customFormat="false" ht="15" hidden="false" customHeight="true" outlineLevel="0" collapsed="false">
      <c r="A98" s="7"/>
      <c r="B98" s="7"/>
      <c r="C98" s="7"/>
      <c r="D98" s="7"/>
      <c r="E98" s="7"/>
      <c r="F98" s="7"/>
      <c r="G98" s="7"/>
      <c r="H98" s="7"/>
      <c r="I98" s="7"/>
      <c r="J98" s="7"/>
      <c r="K98" s="7"/>
      <c r="L98" s="7"/>
      <c r="M98" s="7"/>
    </row>
    <row r="99" customFormat="false" ht="15" hidden="false" customHeight="true" outlineLevel="0" collapsed="false">
      <c r="A99" s="7"/>
      <c r="B99" s="7"/>
      <c r="C99" s="7"/>
      <c r="D99" s="7"/>
      <c r="E99" s="7"/>
      <c r="F99" s="7"/>
      <c r="G99" s="7"/>
      <c r="H99" s="7"/>
      <c r="I99" s="7"/>
      <c r="J99" s="7"/>
      <c r="K99" s="7"/>
      <c r="L99" s="7"/>
      <c r="M99" s="7"/>
    </row>
    <row r="100" customFormat="false" ht="15" hidden="false" customHeight="true" outlineLevel="0" collapsed="false">
      <c r="A100" s="7"/>
      <c r="B100" s="7"/>
      <c r="C100" s="7"/>
      <c r="D100" s="7"/>
      <c r="E100" s="7"/>
      <c r="F100" s="7"/>
      <c r="G100" s="7"/>
      <c r="H100" s="7"/>
      <c r="I100" s="7"/>
      <c r="J100" s="7"/>
      <c r="K100" s="7"/>
      <c r="L100" s="7"/>
      <c r="M100" s="7"/>
    </row>
    <row r="101" customFormat="false" ht="15" hidden="false" customHeight="true" outlineLevel="0" collapsed="false">
      <c r="A101" s="7"/>
      <c r="B101" s="7"/>
      <c r="C101" s="7"/>
      <c r="D101" s="7"/>
      <c r="E101" s="7"/>
      <c r="F101" s="7"/>
      <c r="G101" s="7"/>
      <c r="H101" s="7"/>
      <c r="I101" s="7"/>
      <c r="J101" s="7"/>
      <c r="K101" s="7"/>
      <c r="L101" s="7"/>
      <c r="M101" s="7"/>
    </row>
    <row r="102" customFormat="false" ht="15" hidden="false" customHeight="true" outlineLevel="0" collapsed="false">
      <c r="A102" s="7"/>
      <c r="B102" s="7"/>
      <c r="C102" s="7"/>
      <c r="D102" s="7"/>
      <c r="E102" s="7"/>
      <c r="F102" s="7"/>
      <c r="G102" s="7"/>
      <c r="H102" s="7"/>
      <c r="I102" s="7"/>
      <c r="J102" s="7"/>
      <c r="K102" s="7"/>
      <c r="L102" s="7"/>
      <c r="M102" s="7"/>
    </row>
    <row r="103" customFormat="false" ht="15" hidden="false" customHeight="true" outlineLevel="0" collapsed="false">
      <c r="A103" s="7"/>
      <c r="B103" s="7"/>
      <c r="C103" s="7"/>
      <c r="D103" s="7"/>
      <c r="E103" s="7"/>
      <c r="F103" s="7"/>
      <c r="G103" s="7"/>
      <c r="H103" s="7"/>
      <c r="I103" s="7"/>
      <c r="J103" s="7"/>
      <c r="K103" s="7"/>
      <c r="L103" s="7"/>
      <c r="M103" s="7"/>
    </row>
    <row r="104" customFormat="false" ht="15" hidden="false" customHeight="true" outlineLevel="0" collapsed="false">
      <c r="A104" s="7"/>
      <c r="B104" s="7"/>
      <c r="C104" s="7"/>
      <c r="D104" s="7"/>
      <c r="E104" s="7"/>
      <c r="F104" s="7"/>
      <c r="G104" s="7"/>
      <c r="H104" s="7"/>
      <c r="I104" s="7"/>
      <c r="J104" s="7"/>
      <c r="K104" s="7"/>
      <c r="L104" s="7"/>
      <c r="M104" s="7"/>
    </row>
    <row r="105" customFormat="false" ht="15" hidden="false" customHeight="true" outlineLevel="0" collapsed="false">
      <c r="A105" s="7"/>
      <c r="B105" s="7"/>
      <c r="C105" s="7"/>
      <c r="D105" s="7"/>
      <c r="E105" s="7"/>
      <c r="F105" s="7"/>
      <c r="G105" s="7"/>
      <c r="H105" s="7"/>
      <c r="I105" s="7"/>
      <c r="J105" s="7"/>
      <c r="K105" s="7"/>
      <c r="L105" s="7"/>
      <c r="M105" s="7"/>
    </row>
    <row r="106" customFormat="false" ht="15" hidden="false" customHeight="true" outlineLevel="0" collapsed="false">
      <c r="A106" s="7"/>
      <c r="B106" s="7"/>
      <c r="C106" s="7"/>
      <c r="D106" s="7"/>
      <c r="E106" s="7"/>
      <c r="F106" s="7"/>
      <c r="G106" s="7"/>
      <c r="H106" s="7"/>
      <c r="I106" s="7"/>
      <c r="J106" s="7"/>
      <c r="K106" s="7"/>
      <c r="L106" s="7"/>
      <c r="M106" s="7"/>
    </row>
    <row r="107" customFormat="false" ht="15" hidden="false" customHeight="true" outlineLevel="0" collapsed="false">
      <c r="A107" s="7"/>
      <c r="B107" s="7"/>
      <c r="C107" s="7"/>
      <c r="D107" s="7"/>
      <c r="E107" s="7"/>
      <c r="F107" s="7"/>
      <c r="G107" s="7"/>
      <c r="H107" s="7"/>
      <c r="I107" s="7"/>
      <c r="J107" s="7"/>
      <c r="K107" s="7"/>
      <c r="L107" s="7"/>
      <c r="M107" s="7"/>
    </row>
    <row r="108" customFormat="false" ht="15" hidden="false" customHeight="true" outlineLevel="0" collapsed="false">
      <c r="A108" s="7"/>
      <c r="B108" s="7"/>
      <c r="C108" s="7"/>
      <c r="D108" s="7"/>
      <c r="E108" s="7"/>
      <c r="F108" s="7"/>
      <c r="G108" s="7"/>
      <c r="H108" s="7"/>
      <c r="I108" s="7"/>
      <c r="J108" s="7"/>
      <c r="K108" s="7"/>
      <c r="L108" s="7"/>
      <c r="M108" s="7"/>
    </row>
    <row r="109" customFormat="false" ht="15" hidden="false" customHeight="true" outlineLevel="0" collapsed="false">
      <c r="A109" s="7"/>
      <c r="B109" s="7"/>
      <c r="C109" s="7"/>
      <c r="D109" s="7"/>
      <c r="E109" s="7"/>
      <c r="F109" s="7"/>
      <c r="G109" s="7"/>
      <c r="H109" s="7"/>
      <c r="I109" s="7"/>
      <c r="J109" s="7"/>
      <c r="K109" s="7"/>
      <c r="L109" s="7"/>
      <c r="M109" s="7"/>
    </row>
    <row r="110" customFormat="false" ht="15" hidden="false" customHeight="true" outlineLevel="0" collapsed="false">
      <c r="A110" s="7"/>
      <c r="B110" s="7"/>
      <c r="C110" s="7"/>
      <c r="D110" s="7"/>
      <c r="E110" s="7"/>
      <c r="F110" s="7"/>
      <c r="G110" s="7"/>
      <c r="H110" s="7"/>
      <c r="I110" s="7"/>
      <c r="J110" s="7"/>
      <c r="K110" s="7"/>
      <c r="L110" s="7"/>
      <c r="M110" s="7"/>
    </row>
    <row r="111" customFormat="false" ht="15" hidden="false" customHeight="true" outlineLevel="0" collapsed="false">
      <c r="A111" s="7"/>
      <c r="B111" s="7"/>
      <c r="C111" s="7"/>
      <c r="D111" s="7"/>
      <c r="E111" s="7"/>
      <c r="F111" s="7"/>
      <c r="G111" s="7"/>
      <c r="H111" s="7"/>
      <c r="I111" s="7"/>
      <c r="J111" s="7"/>
      <c r="K111" s="7"/>
      <c r="L111" s="7"/>
      <c r="M111" s="7"/>
    </row>
    <row r="112" customFormat="false" ht="15" hidden="false" customHeight="true" outlineLevel="0" collapsed="false">
      <c r="A112" s="7"/>
      <c r="B112" s="7"/>
      <c r="C112" s="7"/>
      <c r="D112" s="7"/>
      <c r="E112" s="7"/>
      <c r="F112" s="7"/>
      <c r="G112" s="7"/>
      <c r="H112" s="7"/>
      <c r="I112" s="7"/>
      <c r="J112" s="7"/>
      <c r="K112" s="7"/>
      <c r="L112" s="7"/>
      <c r="M112" s="7"/>
    </row>
    <row r="113" customFormat="false" ht="15" hidden="false" customHeight="true" outlineLevel="0" collapsed="false">
      <c r="A113" s="7"/>
      <c r="B113" s="7"/>
      <c r="C113" s="7"/>
      <c r="D113" s="7"/>
      <c r="E113" s="7"/>
      <c r="F113" s="7"/>
      <c r="G113" s="7"/>
      <c r="H113" s="7"/>
      <c r="I113" s="7"/>
      <c r="J113" s="7"/>
      <c r="K113" s="7"/>
      <c r="L113" s="7"/>
      <c r="M113" s="7"/>
    </row>
    <row r="114" customFormat="false" ht="15" hidden="false" customHeight="true" outlineLevel="0" collapsed="false">
      <c r="A114" s="7"/>
      <c r="B114" s="7"/>
      <c r="C114" s="7"/>
      <c r="D114" s="7"/>
      <c r="E114" s="7"/>
      <c r="F114" s="7"/>
      <c r="G114" s="7"/>
      <c r="H114" s="7"/>
      <c r="I114" s="7"/>
      <c r="J114" s="7"/>
      <c r="K114" s="7"/>
      <c r="L114" s="7"/>
      <c r="M114" s="7"/>
    </row>
    <row r="115" customFormat="false" ht="15" hidden="false" customHeight="true" outlineLevel="0" collapsed="false">
      <c r="A115" s="7"/>
      <c r="B115" s="7"/>
      <c r="C115" s="7"/>
      <c r="D115" s="7"/>
      <c r="E115" s="7"/>
      <c r="F115" s="7"/>
      <c r="G115" s="7"/>
      <c r="H115" s="7"/>
      <c r="I115" s="7"/>
      <c r="J115" s="7"/>
      <c r="K115" s="7"/>
      <c r="L115" s="7"/>
      <c r="M115" s="7"/>
    </row>
    <row r="116" customFormat="false" ht="15" hidden="false" customHeight="true" outlineLevel="0" collapsed="false">
      <c r="A116" s="7"/>
      <c r="B116" s="7"/>
      <c r="C116" s="7"/>
      <c r="D116" s="7"/>
      <c r="E116" s="7"/>
      <c r="F116" s="7"/>
      <c r="G116" s="7"/>
      <c r="H116" s="7"/>
      <c r="I116" s="7"/>
      <c r="J116" s="7"/>
      <c r="K116" s="7"/>
      <c r="L116" s="7"/>
      <c r="M116" s="7"/>
    </row>
    <row r="117" customFormat="false" ht="15" hidden="false" customHeight="true" outlineLevel="0" collapsed="false">
      <c r="A117" s="7"/>
      <c r="B117" s="7"/>
      <c r="C117" s="7"/>
      <c r="D117" s="7"/>
      <c r="E117" s="7"/>
      <c r="F117" s="7"/>
      <c r="G117" s="7"/>
      <c r="H117" s="7"/>
      <c r="I117" s="7"/>
      <c r="J117" s="7"/>
      <c r="K117" s="7"/>
      <c r="L117" s="7"/>
      <c r="M117" s="7"/>
    </row>
    <row r="118" customFormat="false" ht="15" hidden="false" customHeight="true" outlineLevel="0" collapsed="false">
      <c r="A118" s="7"/>
      <c r="B118" s="7"/>
      <c r="C118" s="7"/>
      <c r="D118" s="7"/>
      <c r="E118" s="7"/>
      <c r="F118" s="7"/>
      <c r="G118" s="7"/>
      <c r="H118" s="7"/>
      <c r="I118" s="7"/>
      <c r="J118" s="7"/>
      <c r="K118" s="7"/>
      <c r="L118" s="7"/>
      <c r="M118" s="7"/>
    </row>
    <row r="119" customFormat="false" ht="15" hidden="false" customHeight="true" outlineLevel="0" collapsed="false">
      <c r="A119" s="7"/>
      <c r="B119" s="7"/>
      <c r="C119" s="7"/>
      <c r="D119" s="7"/>
      <c r="E119" s="7"/>
      <c r="F119" s="7"/>
      <c r="G119" s="7"/>
      <c r="H119" s="7"/>
      <c r="I119" s="7"/>
      <c r="J119" s="7"/>
      <c r="K119" s="7"/>
      <c r="L119" s="7"/>
      <c r="M119" s="7"/>
    </row>
    <row r="120" customFormat="false" ht="15" hidden="false" customHeight="true" outlineLevel="0" collapsed="false">
      <c r="A120" s="7"/>
      <c r="B120" s="7"/>
      <c r="C120" s="7"/>
      <c r="D120" s="7"/>
      <c r="E120" s="7"/>
      <c r="F120" s="7"/>
      <c r="G120" s="7"/>
      <c r="H120" s="7"/>
      <c r="I120" s="7"/>
      <c r="J120" s="7"/>
      <c r="K120" s="7"/>
      <c r="L120" s="7"/>
      <c r="M120" s="7"/>
    </row>
    <row r="121" customFormat="false" ht="15" hidden="false" customHeight="true" outlineLevel="0" collapsed="false">
      <c r="A121" s="7"/>
      <c r="B121" s="7"/>
      <c r="C121" s="7"/>
      <c r="D121" s="7"/>
      <c r="E121" s="7"/>
      <c r="F121" s="7"/>
      <c r="G121" s="7"/>
      <c r="H121" s="7"/>
      <c r="I121" s="7"/>
      <c r="J121" s="7"/>
      <c r="K121" s="7"/>
      <c r="L121" s="7"/>
      <c r="M121" s="7"/>
    </row>
    <row r="122" customFormat="false" ht="15" hidden="false" customHeight="true" outlineLevel="0" collapsed="false">
      <c r="A122" s="7"/>
      <c r="B122" s="7"/>
      <c r="C122" s="7"/>
      <c r="D122" s="7"/>
      <c r="E122" s="7"/>
      <c r="F122" s="7"/>
      <c r="G122" s="7"/>
      <c r="H122" s="7"/>
      <c r="I122" s="7"/>
      <c r="J122" s="7"/>
      <c r="K122" s="7"/>
      <c r="L122" s="7"/>
      <c r="M122" s="7"/>
    </row>
    <row r="123" customFormat="false" ht="15" hidden="false" customHeight="true" outlineLevel="0" collapsed="false">
      <c r="A123" s="7"/>
      <c r="B123" s="7"/>
      <c r="C123" s="7"/>
      <c r="D123" s="7"/>
      <c r="E123" s="7"/>
      <c r="F123" s="7"/>
      <c r="G123" s="7"/>
      <c r="H123" s="7"/>
      <c r="I123" s="7"/>
      <c r="J123" s="7"/>
      <c r="K123" s="7"/>
      <c r="L123" s="7"/>
      <c r="M123" s="7"/>
    </row>
    <row r="124" customFormat="false" ht="15" hidden="false" customHeight="true" outlineLevel="0" collapsed="false">
      <c r="A124" s="7"/>
      <c r="B124" s="7"/>
      <c r="C124" s="7"/>
      <c r="D124" s="7"/>
      <c r="E124" s="7"/>
      <c r="F124" s="7"/>
      <c r="G124" s="7"/>
      <c r="H124" s="7"/>
      <c r="I124" s="7"/>
      <c r="J124" s="7"/>
      <c r="K124" s="7"/>
      <c r="L124" s="7"/>
      <c r="M124" s="7"/>
    </row>
    <row r="125" customFormat="false" ht="15" hidden="false" customHeight="true" outlineLevel="0" collapsed="false">
      <c r="A125" s="7"/>
      <c r="B125" s="7"/>
      <c r="C125" s="7"/>
      <c r="D125" s="7"/>
      <c r="E125" s="7"/>
      <c r="F125" s="7"/>
      <c r="G125" s="7"/>
      <c r="H125" s="7"/>
      <c r="I125" s="7"/>
      <c r="J125" s="7"/>
      <c r="K125" s="7"/>
      <c r="L125" s="7"/>
      <c r="M125" s="7"/>
    </row>
    <row r="126" customFormat="false" ht="15" hidden="false" customHeight="true" outlineLevel="0" collapsed="false">
      <c r="A126" s="7"/>
      <c r="B126" s="7"/>
      <c r="C126" s="7"/>
      <c r="D126" s="7"/>
      <c r="E126" s="7"/>
      <c r="F126" s="7"/>
      <c r="G126" s="7"/>
      <c r="H126" s="7"/>
      <c r="I126" s="7"/>
      <c r="J126" s="7"/>
      <c r="K126" s="7"/>
      <c r="L126" s="7"/>
      <c r="M126" s="7"/>
    </row>
    <row r="127" customFormat="false" ht="15" hidden="false" customHeight="true" outlineLevel="0" collapsed="false">
      <c r="A127" s="7"/>
      <c r="B127" s="7"/>
      <c r="C127" s="7"/>
      <c r="D127" s="7"/>
      <c r="E127" s="7"/>
      <c r="F127" s="7"/>
      <c r="G127" s="7"/>
      <c r="H127" s="7"/>
      <c r="I127" s="7"/>
      <c r="J127" s="7"/>
      <c r="K127" s="7"/>
      <c r="L127" s="7"/>
      <c r="M127" s="7"/>
    </row>
    <row r="128" customFormat="false" ht="15" hidden="false" customHeight="true" outlineLevel="0" collapsed="false">
      <c r="A128" s="7"/>
      <c r="B128" s="7"/>
      <c r="C128" s="7"/>
      <c r="D128" s="7"/>
      <c r="E128" s="7"/>
      <c r="F128" s="7"/>
      <c r="G128" s="7"/>
      <c r="H128" s="7"/>
      <c r="I128" s="7"/>
      <c r="J128" s="7"/>
      <c r="K128" s="7"/>
      <c r="L128" s="7"/>
      <c r="M128" s="7"/>
    </row>
    <row r="129" customFormat="false" ht="15" hidden="false" customHeight="true" outlineLevel="0" collapsed="false">
      <c r="A129" s="7"/>
      <c r="B129" s="7"/>
      <c r="C129" s="7"/>
      <c r="D129" s="7"/>
      <c r="E129" s="7"/>
      <c r="F129" s="7"/>
      <c r="G129" s="7"/>
      <c r="H129" s="7"/>
      <c r="I129" s="7"/>
      <c r="J129" s="7"/>
      <c r="K129" s="7"/>
      <c r="L129" s="7"/>
      <c r="M129" s="7"/>
    </row>
    <row r="130" customFormat="false" ht="15" hidden="false" customHeight="true" outlineLevel="0" collapsed="false">
      <c r="A130" s="7"/>
      <c r="B130" s="7"/>
      <c r="C130" s="7"/>
      <c r="D130" s="7"/>
      <c r="E130" s="7"/>
      <c r="F130" s="7"/>
      <c r="G130" s="7"/>
      <c r="H130" s="7"/>
      <c r="I130" s="7"/>
      <c r="J130" s="7"/>
      <c r="K130" s="7"/>
      <c r="L130" s="7"/>
      <c r="M130" s="7"/>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M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14"/>
    <col collapsed="false" customWidth="true" hidden="false" outlineLevel="0" max="12" min="4" style="1" width="12"/>
  </cols>
  <sheetData>
    <row r="1" customFormat="false" ht="17.25" hidden="false" customHeight="true" outlineLevel="0" collapsed="false">
      <c r="B1" s="2" t="s">
        <v>358</v>
      </c>
      <c r="J1" s="3" t="s">
        <v>1</v>
      </c>
      <c r="K1" s="4" t="str">
        <f aca="false">'0_Dashboard_Toggles'!$D$49</f>
        <v>OK</v>
      </c>
    </row>
    <row r="2" customFormat="false" ht="15" hidden="false" customHeight="true" outlineLevel="0" collapsed="false">
      <c r="B2" s="5" t="s">
        <v>359</v>
      </c>
    </row>
    <row r="4" customFormat="false" ht="15" hidden="false" customHeight="true" outlineLevel="0" collapsed="false">
      <c r="B4" s="6" t="s">
        <v>360</v>
      </c>
      <c r="C4" s="6"/>
      <c r="D4" s="6"/>
      <c r="E4" s="6"/>
      <c r="F4" s="6"/>
      <c r="G4" s="6"/>
      <c r="H4" s="6"/>
      <c r="I4" s="6"/>
      <c r="J4" s="6"/>
      <c r="K4" s="6"/>
      <c r="L4" s="6"/>
    </row>
    <row r="5" customFormat="false" ht="15" hidden="false" customHeight="true" outlineLevel="0" collapsed="false">
      <c r="B5" s="7" t="s">
        <v>361</v>
      </c>
      <c r="C5" s="27" t="n">
        <f aca="false">'2_Operating_Build'!L79</f>
        <v>8418.422305688</v>
      </c>
    </row>
    <row r="6" customFormat="false" ht="15" hidden="false" customHeight="true" outlineLevel="0" collapsed="false">
      <c r="B6" s="7" t="s">
        <v>51</v>
      </c>
      <c r="C6" s="28" t="n">
        <f aca="false">'0_Dashboard_Toggles'!C22</f>
        <v>22</v>
      </c>
    </row>
    <row r="7" customFormat="false" ht="15" hidden="false" customHeight="true" outlineLevel="0" collapsed="false">
      <c r="B7" s="3" t="s">
        <v>362</v>
      </c>
      <c r="C7" s="41" t="n">
        <f aca="false">C5*C6</f>
        <v>185205.290725136</v>
      </c>
    </row>
    <row r="8" customFormat="false" ht="15" hidden="false" customHeight="true" outlineLevel="0" collapsed="false">
      <c r="B8" s="7" t="s">
        <v>363</v>
      </c>
      <c r="C8" s="27" t="n">
        <f aca="false">'3_Financial_Statements'!L36</f>
        <v>6496.70842669414</v>
      </c>
    </row>
    <row r="9" customFormat="false" ht="15" hidden="false" customHeight="true" outlineLevel="0" collapsed="false">
      <c r="B9" s="7" t="s">
        <v>364</v>
      </c>
      <c r="C9" s="17" t="n">
        <f aca="false">C7/C8</f>
        <v>28.5075577601961</v>
      </c>
    </row>
    <row r="10" customFormat="false" ht="15" hidden="false" customHeight="true" outlineLevel="0" collapsed="false">
      <c r="B10" s="7" t="s">
        <v>365</v>
      </c>
      <c r="C10" s="27" t="n">
        <f aca="false">-'4_Debt_Schedule'!L61</f>
        <v>-7070</v>
      </c>
    </row>
    <row r="11" customFormat="false" ht="15" hidden="false" customHeight="true" outlineLevel="0" collapsed="false">
      <c r="B11" s="7" t="s">
        <v>366</v>
      </c>
      <c r="C11" s="27" t="n">
        <f aca="false">'3_Financial_Statements'!L44+'3_Financial_Statements'!L50</f>
        <v>21332.7293153741</v>
      </c>
    </row>
    <row r="12" customFormat="false" ht="15" hidden="false" customHeight="true" outlineLevel="0" collapsed="false">
      <c r="B12" s="7" t="s">
        <v>367</v>
      </c>
      <c r="C12" s="27" t="n">
        <f aca="false">-'4_Debt_Schedule'!L53</f>
        <v>-463.332510493981</v>
      </c>
    </row>
    <row r="13" customFormat="false" ht="15" hidden="false" customHeight="true" outlineLevel="0" collapsed="false">
      <c r="B13" s="3" t="s">
        <v>368</v>
      </c>
      <c r="C13" s="41" t="n">
        <f aca="false">SUM(C7,C10:C12)</f>
        <v>199004.687530016</v>
      </c>
    </row>
    <row r="14" customFormat="false" ht="15" hidden="false" customHeight="true" outlineLevel="0" collapsed="false">
      <c r="B14" s="7" t="s">
        <v>369</v>
      </c>
      <c r="C14" s="27" t="n">
        <f aca="false">'1_Transaction_Summary'!C49+'1_Transaction_Summary'!C50</f>
        <v>91000.9641994937</v>
      </c>
    </row>
    <row r="15" customFormat="false" ht="15" hidden="false" customHeight="true" outlineLevel="0" collapsed="false">
      <c r="B15" s="7" t="s">
        <v>370</v>
      </c>
      <c r="C15" s="27" t="n">
        <f aca="false">-'0_Dashboard_Toggles'!C20*MAX(0,C13+C21-C14)</f>
        <v>-8640.29786644179</v>
      </c>
    </row>
    <row r="16" customFormat="false" ht="15" hidden="false" customHeight="true" outlineLevel="0" collapsed="false">
      <c r="B16" s="3" t="s">
        <v>371</v>
      </c>
      <c r="C16" s="41" t="n">
        <f aca="false">C13+C15</f>
        <v>190364.389663574</v>
      </c>
    </row>
    <row r="17" customFormat="false" ht="15" hidden="false" customHeight="true" outlineLevel="0" collapsed="false">
      <c r="B17" s="3" t="s">
        <v>79</v>
      </c>
      <c r="C17" s="69" t="n">
        <f aca="false">(C16+C21)/C14</f>
        <v>2.09189420505759</v>
      </c>
    </row>
    <row r="18" customFormat="false" ht="15" hidden="false" customHeight="true" outlineLevel="0" collapsed="false">
      <c r="B18" s="7" t="s">
        <v>372</v>
      </c>
      <c r="C18" s="27" t="n">
        <f aca="false">(C16+C21)*'1_Transaction_Summary'!C50/C14</f>
        <v>124371.286743764</v>
      </c>
      <c r="D18" s="27" t="n">
        <f aca="false">'1_Transaction_Summary'!C50</f>
        <v>59453.9085404371</v>
      </c>
    </row>
    <row r="19" customFormat="false" ht="15" hidden="false" customHeight="true" outlineLevel="0" collapsed="false">
      <c r="B19" s="3" t="s">
        <v>80</v>
      </c>
      <c r="C19" s="19" t="n">
        <f aca="false">IRR(E20:L20)</f>
        <v>0.111197838959669</v>
      </c>
      <c r="E19" s="68" t="n">
        <v>2026</v>
      </c>
      <c r="F19" s="68" t="n">
        <v>2027</v>
      </c>
      <c r="G19" s="68" t="n">
        <v>2028</v>
      </c>
      <c r="H19" s="68" t="n">
        <v>2029</v>
      </c>
      <c r="I19" s="68" t="n">
        <v>2030</v>
      </c>
      <c r="J19" s="68" t="n">
        <v>2031</v>
      </c>
      <c r="K19" s="68" t="n">
        <v>2032</v>
      </c>
      <c r="L19" s="68" t="n">
        <v>2033</v>
      </c>
    </row>
    <row r="20" customFormat="false" ht="15" hidden="false" customHeight="true" outlineLevel="0" collapsed="false">
      <c r="D20" s="50" t="s">
        <v>373</v>
      </c>
      <c r="E20" s="41" t="n">
        <f aca="false">-$C$14</f>
        <v>-91000.9641994937</v>
      </c>
      <c r="F20" s="27" t="n">
        <f aca="false">'4_Debt_Schedule'!F89</f>
        <v>0</v>
      </c>
      <c r="G20" s="27" t="n">
        <f aca="false">'4_Debt_Schedule'!G89</f>
        <v>0</v>
      </c>
      <c r="H20" s="27" t="n">
        <f aca="false">'4_Debt_Schedule'!H89</f>
        <v>0</v>
      </c>
      <c r="I20" s="27" t="n">
        <f aca="false">'4_Debt_Schedule'!I89</f>
        <v>0</v>
      </c>
      <c r="J20" s="27" t="n">
        <f aca="false">'4_Debt_Schedule'!J89</f>
        <v>0</v>
      </c>
      <c r="K20" s="27" t="n">
        <f aca="false">'4_Debt_Schedule'!K89</f>
        <v>0</v>
      </c>
      <c r="L20" s="41" t="n">
        <f aca="false">$C$16+'4_Debt_Schedule'!L89</f>
        <v>190364.389663574</v>
      </c>
    </row>
    <row r="21" customFormat="false" ht="15" hidden="false" customHeight="true" outlineLevel="0" collapsed="false">
      <c r="B21" s="63" t="s">
        <v>374</v>
      </c>
      <c r="C21" s="27" t="n">
        <f aca="false">SUM('4_Debt_Schedule'!F89:L89)</f>
        <v>0</v>
      </c>
    </row>
    <row r="22" customFormat="false" ht="15" hidden="false" customHeight="true" outlineLevel="0" collapsed="false">
      <c r="B22" s="6" t="s">
        <v>375</v>
      </c>
      <c r="C22" s="6"/>
      <c r="D22" s="6"/>
      <c r="E22" s="6"/>
    </row>
    <row r="23" customFormat="false" ht="15" hidden="false" customHeight="true" outlineLevel="0" collapsed="false">
      <c r="B23" s="7" t="s">
        <v>376</v>
      </c>
      <c r="C23" s="60" t="n">
        <v>0.015</v>
      </c>
    </row>
    <row r="24" customFormat="false" ht="15" hidden="false" customHeight="true" outlineLevel="0" collapsed="false">
      <c r="B24" s="7" t="s">
        <v>377</v>
      </c>
      <c r="C24" s="46" t="n">
        <v>0.2</v>
      </c>
    </row>
    <row r="25" customFormat="false" ht="15" hidden="false" customHeight="true" outlineLevel="0" collapsed="false">
      <c r="B25" s="7" t="s">
        <v>378</v>
      </c>
      <c r="C25" s="46" t="n">
        <v>0.08</v>
      </c>
    </row>
    <row r="26" customFormat="false" ht="15" hidden="false" customHeight="true" outlineLevel="0" collapsed="false">
      <c r="B26" s="7" t="s">
        <v>379</v>
      </c>
      <c r="C26" s="23" t="n">
        <f aca="false">'2_Operating_Build'!L3-'2_Operating_Build'!E3</f>
        <v>7</v>
      </c>
    </row>
    <row r="27" customFormat="false" ht="15" hidden="false" customHeight="true" outlineLevel="0" collapsed="false">
      <c r="B27" s="7" t="s">
        <v>380</v>
      </c>
      <c r="C27" s="41" t="n">
        <f aca="false">-C23*D18*C26</f>
        <v>-6242.66039674589</v>
      </c>
    </row>
    <row r="28" customFormat="false" ht="15" hidden="false" customHeight="true" outlineLevel="0" collapsed="false">
      <c r="B28" s="7" t="s">
        <v>381</v>
      </c>
      <c r="C28" s="41" t="n">
        <f aca="false">C18+C27-D18</f>
        <v>58674.7178065815</v>
      </c>
    </row>
    <row r="29" customFormat="false" ht="15" hidden="false" customHeight="true" outlineLevel="0" collapsed="false">
      <c r="B29" s="7" t="s">
        <v>382</v>
      </c>
      <c r="C29" s="41" t="n">
        <f aca="false">D18*((1+C25)^C26-1)</f>
        <v>42439.642789962</v>
      </c>
    </row>
    <row r="30" customFormat="false" ht="15" hidden="false" customHeight="true" outlineLevel="0" collapsed="false">
      <c r="B30" s="7" t="s">
        <v>383</v>
      </c>
      <c r="C30" s="41" t="n">
        <f aca="false">-MAX(0,MIN(C24*C28,C28-C29))</f>
        <v>-11734.9435613163</v>
      </c>
    </row>
    <row r="31" customFormat="false" ht="15" hidden="false" customHeight="true" outlineLevel="0" collapsed="false">
      <c r="B31" s="3" t="s">
        <v>81</v>
      </c>
      <c r="C31" s="69" t="n">
        <f aca="false">(C18+C27+C30)/D18</f>
        <v>1.78951536404607</v>
      </c>
    </row>
    <row r="32" customFormat="false" ht="15" hidden="false" customHeight="true" outlineLevel="0" collapsed="false">
      <c r="B32" s="3" t="s">
        <v>82</v>
      </c>
      <c r="C32" s="19" t="n">
        <f aca="false">IF(C31&gt;0,IRR(E33:L33),-1)</f>
        <v>0.0840229476118282</v>
      </c>
    </row>
    <row r="33" customFormat="false" ht="15" hidden="false" customHeight="true" outlineLevel="0" collapsed="false">
      <c r="D33" s="63" t="s">
        <v>384</v>
      </c>
      <c r="E33" s="41" t="n">
        <f aca="false">-$D$18</f>
        <v>-59453.9085404371</v>
      </c>
      <c r="F33" s="41" t="n">
        <f aca="false">F20*$D$18/$C$14-$C$23*$D$18</f>
        <v>-891.808628106556</v>
      </c>
      <c r="G33" s="41" t="n">
        <f aca="false">G20*$D$18/$C$14-$C$23*$D$18</f>
        <v>-891.808628106556</v>
      </c>
      <c r="H33" s="41" t="n">
        <f aca="false">H20*$D$18/$C$14-$C$23*$D$18</f>
        <v>-891.808628106556</v>
      </c>
      <c r="I33" s="41" t="n">
        <f aca="false">I20*$D$18/$C$14-$C$23*$D$18</f>
        <v>-891.808628106556</v>
      </c>
      <c r="J33" s="41" t="n">
        <f aca="false">J20*$D$18/$C$14-$C$23*$D$18</f>
        <v>-891.808628106556</v>
      </c>
      <c r="K33" s="41" t="n">
        <f aca="false">K20*$D$18/$C$14-$C$23*$D$18</f>
        <v>-891.808628106556</v>
      </c>
      <c r="L33" s="41" t="n">
        <f aca="false">L20*$D$18/$C$14-$C$23*$D$18+$C$30</f>
        <v>111744.534554342</v>
      </c>
    </row>
    <row r="34" customFormat="false" ht="15" hidden="false" customHeight="true" outlineLevel="0" collapsed="false">
      <c r="B34" s="6" t="s">
        <v>385</v>
      </c>
      <c r="C34" s="6"/>
      <c r="D34" s="6"/>
      <c r="E34" s="6"/>
    </row>
    <row r="35" customFormat="false" ht="15" hidden="false" customHeight="true" outlineLevel="0" collapsed="false">
      <c r="B35" s="7" t="s">
        <v>386</v>
      </c>
      <c r="C35" s="27" t="n">
        <f aca="false">'2_Operating_Build'!E79</f>
        <v>3282.595</v>
      </c>
    </row>
    <row r="36" customFormat="false" ht="15" hidden="false" customHeight="true" outlineLevel="0" collapsed="false">
      <c r="B36" s="7" t="s">
        <v>387</v>
      </c>
      <c r="C36" s="28" t="n">
        <f aca="false">'1_Transaction_Summary'!C28</f>
        <v>32.5367420852693</v>
      </c>
    </row>
    <row r="37" customFormat="false" ht="15" hidden="false" customHeight="true" outlineLevel="0" collapsed="false">
      <c r="B37" s="7" t="s">
        <v>388</v>
      </c>
      <c r="C37" s="41" t="n">
        <f aca="false">(C5-C35)*C36</f>
        <v>167103.088439654</v>
      </c>
    </row>
    <row r="38" customFormat="false" ht="15" hidden="false" customHeight="true" outlineLevel="0" collapsed="false">
      <c r="B38" s="7" t="s">
        <v>389</v>
      </c>
      <c r="C38" s="41" t="n">
        <f aca="false">(C6-C36)*C5</f>
        <v>-88702.7445999129</v>
      </c>
    </row>
    <row r="39" customFormat="false" ht="15" hidden="false" customHeight="true" outlineLevel="0" collapsed="false">
      <c r="B39" s="7" t="s">
        <v>390</v>
      </c>
      <c r="C39" s="27" t="n">
        <f aca="false">('1_Transaction_Summary'!C47-'1_Transaction_Summary'!F48-'3_Financial_Statements'!E50+'1_Transaction_Summary'!C23)-(-C10-C11-C12)</f>
        <v>30463.3968048801</v>
      </c>
    </row>
    <row r="40" customFormat="false" ht="15" hidden="false" customHeight="true" outlineLevel="0" collapsed="false">
      <c r="B40" s="7" t="s">
        <v>391</v>
      </c>
      <c r="C40" s="41" t="n">
        <f aca="false">C41-C37-C38-C39</f>
        <v>-860.017314098892</v>
      </c>
    </row>
    <row r="41" customFormat="false" ht="15" hidden="false" customHeight="true" outlineLevel="0" collapsed="false">
      <c r="B41" s="3" t="s">
        <v>392</v>
      </c>
      <c r="C41" s="43" t="n">
        <f aca="false">C13+C21-C14</f>
        <v>108003.723330522</v>
      </c>
    </row>
    <row r="43" customFormat="false" ht="15" hidden="false" customHeight="true" outlineLevel="0" collapsed="false">
      <c r="A43" s="7"/>
      <c r="B43" s="6" t="s">
        <v>393</v>
      </c>
      <c r="C43" s="6"/>
      <c r="D43" s="6"/>
      <c r="E43" s="6"/>
      <c r="F43" s="6"/>
      <c r="G43" s="6"/>
      <c r="H43" s="6"/>
      <c r="I43" s="6"/>
      <c r="J43" s="6"/>
      <c r="K43" s="6"/>
      <c r="L43" s="6"/>
      <c r="M43" s="7"/>
    </row>
    <row r="44" customFormat="false" ht="15" hidden="false" customHeight="true" outlineLevel="0" collapsed="false">
      <c r="A44" s="7"/>
      <c r="B44" s="5" t="s">
        <v>394</v>
      </c>
      <c r="C44" s="7"/>
      <c r="D44" s="7"/>
      <c r="E44" s="7"/>
      <c r="F44" s="7"/>
      <c r="G44" s="7"/>
      <c r="H44" s="7"/>
      <c r="I44" s="7"/>
      <c r="J44" s="7"/>
      <c r="K44" s="7"/>
      <c r="L44" s="7"/>
      <c r="M44" s="7"/>
    </row>
    <row r="45" customFormat="false" ht="15" hidden="false" customHeight="true" outlineLevel="0" collapsed="false">
      <c r="A45" s="7"/>
      <c r="B45" s="5" t="s">
        <v>395</v>
      </c>
      <c r="C45" s="7"/>
      <c r="D45" s="7"/>
      <c r="E45" s="7"/>
      <c r="F45" s="7"/>
      <c r="G45" s="7"/>
      <c r="H45" s="7"/>
      <c r="I45" s="7"/>
      <c r="J45" s="7"/>
      <c r="K45" s="7"/>
      <c r="L45" s="7"/>
      <c r="M45" s="7"/>
    </row>
    <row r="46" customFormat="false" ht="15" hidden="false" customHeight="true" outlineLevel="0" collapsed="false">
      <c r="A46" s="7"/>
      <c r="B46" s="5" t="s">
        <v>396</v>
      </c>
      <c r="C46" s="7"/>
      <c r="D46" s="7"/>
      <c r="E46" s="7"/>
      <c r="F46" s="7"/>
      <c r="G46" s="7"/>
      <c r="H46" s="7"/>
      <c r="I46" s="7"/>
      <c r="J46" s="7"/>
      <c r="K46" s="7"/>
      <c r="L46" s="7"/>
      <c r="M46" s="7"/>
    </row>
    <row r="47" customFormat="false" ht="15" hidden="false" customHeight="true" outlineLevel="0" collapsed="false">
      <c r="A47" s="7"/>
      <c r="B47" s="5" t="s">
        <v>397</v>
      </c>
      <c r="C47" s="7"/>
      <c r="D47" s="7"/>
      <c r="E47" s="7"/>
      <c r="F47" s="7"/>
      <c r="G47" s="7"/>
      <c r="H47" s="7"/>
      <c r="I47" s="7"/>
      <c r="J47" s="7"/>
      <c r="K47" s="7"/>
      <c r="L47" s="7"/>
      <c r="M47" s="7"/>
    </row>
    <row r="48" customFormat="false" ht="15" hidden="false" customHeight="true" outlineLevel="0" collapsed="false">
      <c r="A48" s="7"/>
      <c r="B48" s="7"/>
      <c r="C48" s="7"/>
      <c r="D48" s="7"/>
      <c r="E48" s="7"/>
      <c r="F48" s="7"/>
      <c r="G48" s="7"/>
      <c r="H48" s="7"/>
      <c r="I48" s="7"/>
      <c r="J48" s="7"/>
      <c r="K48" s="7"/>
      <c r="L48" s="7"/>
      <c r="M48" s="7"/>
    </row>
    <row r="49" customFormat="false" ht="15" hidden="false" customHeight="true" outlineLevel="0" collapsed="false">
      <c r="A49" s="7"/>
      <c r="B49" s="7"/>
      <c r="C49" s="7"/>
      <c r="D49" s="7"/>
      <c r="E49" s="7"/>
      <c r="F49" s="7"/>
      <c r="G49" s="7"/>
      <c r="H49" s="7"/>
      <c r="I49" s="7"/>
      <c r="J49" s="7"/>
      <c r="K49" s="7"/>
      <c r="L49" s="7"/>
      <c r="M49" s="7"/>
    </row>
    <row r="50" customFormat="false" ht="15" hidden="false" customHeight="true" outlineLevel="0" collapsed="false">
      <c r="A50" s="7"/>
      <c r="B50" s="7"/>
      <c r="C50" s="7"/>
      <c r="D50" s="7"/>
      <c r="E50" s="7"/>
      <c r="F50" s="7"/>
      <c r="G50" s="7"/>
      <c r="H50" s="7"/>
      <c r="I50" s="7"/>
      <c r="J50" s="7"/>
      <c r="K50" s="7"/>
      <c r="L50" s="7"/>
      <c r="M50" s="7"/>
    </row>
    <row r="51" customFormat="false" ht="15" hidden="false" customHeight="true" outlineLevel="0" collapsed="false">
      <c r="A51" s="7"/>
      <c r="B51" s="7"/>
      <c r="C51" s="7"/>
      <c r="D51" s="7"/>
      <c r="E51" s="7"/>
      <c r="F51" s="7"/>
      <c r="G51" s="7"/>
      <c r="H51" s="7"/>
      <c r="I51" s="7"/>
      <c r="J51" s="7"/>
      <c r="K51" s="7"/>
      <c r="L51" s="7"/>
      <c r="M51" s="7"/>
    </row>
    <row r="52" customFormat="false" ht="15" hidden="false" customHeight="true" outlineLevel="0" collapsed="false">
      <c r="A52" s="7"/>
      <c r="B52" s="6" t="s">
        <v>398</v>
      </c>
      <c r="C52" s="6"/>
      <c r="D52" s="6" t="s">
        <v>399</v>
      </c>
      <c r="E52" s="6"/>
      <c r="F52" s="6"/>
      <c r="G52" s="6"/>
      <c r="H52" s="6"/>
      <c r="I52" s="6"/>
      <c r="J52" s="6"/>
      <c r="K52" s="6"/>
      <c r="L52" s="6"/>
      <c r="M52" s="7"/>
    </row>
    <row r="53" customFormat="false" ht="15" hidden="false" customHeight="true" outlineLevel="0" collapsed="false">
      <c r="A53" s="7"/>
      <c r="B53" s="7"/>
      <c r="C53" s="31" t="s">
        <v>400</v>
      </c>
      <c r="D53" s="70" t="n">
        <v>12</v>
      </c>
      <c r="E53" s="70" t="n">
        <v>13.5</v>
      </c>
      <c r="F53" s="70" t="n">
        <v>15</v>
      </c>
      <c r="G53" s="70" t="n">
        <v>16.5</v>
      </c>
      <c r="H53" s="70" t="n">
        <v>18</v>
      </c>
      <c r="I53" s="70" t="n">
        <v>22</v>
      </c>
      <c r="J53" s="70" t="n">
        <v>25</v>
      </c>
      <c r="K53" s="71" t="s">
        <v>401</v>
      </c>
      <c r="L53" s="7"/>
      <c r="M53" s="7"/>
    </row>
    <row r="54" customFormat="false" ht="15" hidden="false" customHeight="true" outlineLevel="0" collapsed="false">
      <c r="A54" s="7"/>
      <c r="B54" s="7"/>
      <c r="C54" s="72" t="n">
        <v>0.36</v>
      </c>
      <c r="D54" s="73" t="n">
        <v>1.07200071502992</v>
      </c>
      <c r="E54" s="73" t="n">
        <v>1.18244677160369</v>
      </c>
      <c r="F54" s="73" t="n">
        <v>1.29289282817746</v>
      </c>
      <c r="G54" s="73" t="n">
        <v>1.40333888475123</v>
      </c>
      <c r="H54" s="73" t="n">
        <v>1.51378494132499</v>
      </c>
      <c r="I54" s="73" t="n">
        <v>1.80830775885504</v>
      </c>
      <c r="J54" s="73" t="n">
        <v>2.02919987200258</v>
      </c>
      <c r="K54" s="74" t="n">
        <v>18.6108661541767</v>
      </c>
      <c r="L54" s="7"/>
      <c r="M54" s="7"/>
    </row>
    <row r="55" customFormat="false" ht="15" hidden="false" customHeight="true" outlineLevel="0" collapsed="false">
      <c r="A55" s="7"/>
      <c r="B55" s="7"/>
      <c r="C55" s="72" t="n">
        <v>0.38</v>
      </c>
      <c r="D55" s="73" t="n">
        <v>1.17528605372201</v>
      </c>
      <c r="E55" s="73" t="n">
        <v>1.29626583052217</v>
      </c>
      <c r="F55" s="73" t="n">
        <v>1.41724560732234</v>
      </c>
      <c r="G55" s="73" t="n">
        <v>1.5382253841225</v>
      </c>
      <c r="H55" s="73" t="n">
        <v>1.65920516092266</v>
      </c>
      <c r="I55" s="73" t="n">
        <v>1.98181789905643</v>
      </c>
      <c r="J55" s="73" t="n">
        <v>2.22377745265676</v>
      </c>
      <c r="K55" s="74" t="n">
        <v>50.0525834436633</v>
      </c>
      <c r="L55" s="7"/>
      <c r="M55" s="7"/>
    </row>
    <row r="56" customFormat="false" ht="15" hidden="false" customHeight="true" outlineLevel="0" collapsed="false">
      <c r="A56" s="7"/>
      <c r="B56" s="7"/>
      <c r="C56" s="72" t="n">
        <v>0.4</v>
      </c>
      <c r="D56" s="73" t="n">
        <v>1.27856557182057</v>
      </c>
      <c r="E56" s="73" t="n">
        <v>1.41007906884713</v>
      </c>
      <c r="F56" s="73" t="n">
        <v>1.54159256587369</v>
      </c>
      <c r="G56" s="73" t="n">
        <v>1.67310606290025</v>
      </c>
      <c r="H56" s="73" t="n">
        <v>1.80461955992681</v>
      </c>
      <c r="I56" s="73" t="n">
        <v>2.15532221866431</v>
      </c>
      <c r="J56" s="73" t="n">
        <v>2.41834921271743</v>
      </c>
      <c r="K56" s="74" t="n">
        <v>81.4943007331509</v>
      </c>
      <c r="L56" s="7"/>
      <c r="M56" s="7"/>
    </row>
    <row r="57" customFormat="false" ht="15" hidden="false" customHeight="true" outlineLevel="0" collapsed="false">
      <c r="A57" s="7"/>
      <c r="B57" s="7"/>
      <c r="C57" s="72" t="n">
        <v>0.42</v>
      </c>
      <c r="D57" s="73" t="n">
        <v>1.38184290135471</v>
      </c>
      <c r="E57" s="73" t="n">
        <v>1.52389011860767</v>
      </c>
      <c r="F57" s="73" t="n">
        <v>1.66593733586063</v>
      </c>
      <c r="G57" s="73" t="n">
        <v>1.80798455311358</v>
      </c>
      <c r="H57" s="73" t="n">
        <v>1.95003177036654</v>
      </c>
      <c r="I57" s="73" t="n">
        <v>2.32882434970776</v>
      </c>
      <c r="J57" s="73" t="n">
        <v>2.61291878421367</v>
      </c>
      <c r="K57" s="74" t="n">
        <v>112.936018022639</v>
      </c>
      <c r="L57" s="7"/>
      <c r="M57" s="7"/>
    </row>
    <row r="58" customFormat="false" ht="15" hidden="false" customHeight="true" outlineLevel="0" collapsed="false">
      <c r="A58" s="7"/>
      <c r="B58" s="7"/>
      <c r="C58" s="72" t="n">
        <v>0.44</v>
      </c>
      <c r="D58" s="73" t="n">
        <v>1.48512023088885</v>
      </c>
      <c r="E58" s="73" t="n">
        <v>1.6377011683682</v>
      </c>
      <c r="F58" s="73" t="n">
        <v>1.79028210584756</v>
      </c>
      <c r="G58" s="73" t="n">
        <v>1.94286304332691</v>
      </c>
      <c r="H58" s="73" t="n">
        <v>2.09544398080626</v>
      </c>
      <c r="I58" s="73" t="n">
        <v>2.50232648075121</v>
      </c>
      <c r="J58" s="73" t="n">
        <v>2.80748835570991</v>
      </c>
      <c r="K58" s="74" t="n">
        <v>144.377735312126</v>
      </c>
      <c r="L58" s="7"/>
      <c r="M58" s="7"/>
    </row>
    <row r="59" customFormat="false" ht="15" hidden="false" customHeight="true" outlineLevel="0" collapsed="false">
      <c r="A59" s="7"/>
      <c r="B59" s="7"/>
      <c r="C59" s="7"/>
      <c r="D59" s="7"/>
      <c r="E59" s="7"/>
      <c r="F59" s="7"/>
      <c r="G59" s="7"/>
      <c r="H59" s="7"/>
      <c r="I59" s="7"/>
      <c r="J59" s="7"/>
      <c r="K59" s="7"/>
      <c r="L59" s="7"/>
      <c r="M59" s="7"/>
    </row>
    <row r="60" customFormat="false" ht="15" hidden="false" customHeight="true" outlineLevel="0" collapsed="false">
      <c r="A60" s="7"/>
      <c r="B60" s="6" t="s">
        <v>402</v>
      </c>
      <c r="C60" s="6"/>
      <c r="D60" s="6" t="s">
        <v>399</v>
      </c>
      <c r="E60" s="6"/>
      <c r="F60" s="6"/>
      <c r="G60" s="6"/>
      <c r="H60" s="6"/>
      <c r="I60" s="6"/>
      <c r="J60" s="6"/>
      <c r="K60" s="6"/>
      <c r="L60" s="6"/>
      <c r="M60" s="7"/>
    </row>
    <row r="61" customFormat="false" ht="15" hidden="false" customHeight="true" outlineLevel="0" collapsed="false">
      <c r="A61" s="7"/>
      <c r="B61" s="7"/>
      <c r="C61" s="31" t="s">
        <v>400</v>
      </c>
      <c r="D61" s="70" t="n">
        <v>12</v>
      </c>
      <c r="E61" s="70" t="n">
        <v>13.5</v>
      </c>
      <c r="F61" s="70" t="n">
        <v>15</v>
      </c>
      <c r="G61" s="70" t="n">
        <v>16.5</v>
      </c>
      <c r="H61" s="70" t="n">
        <v>18</v>
      </c>
      <c r="I61" s="70" t="n">
        <v>22</v>
      </c>
      <c r="J61" s="70" t="n">
        <v>25</v>
      </c>
      <c r="K61" s="71" t="s">
        <v>401</v>
      </c>
      <c r="L61" s="7"/>
      <c r="M61" s="7"/>
    </row>
    <row r="62" customFormat="false" ht="15" hidden="false" customHeight="true" outlineLevel="0" collapsed="false">
      <c r="A62" s="7"/>
      <c r="B62" s="7"/>
      <c r="C62" s="72" t="n">
        <v>0.36</v>
      </c>
      <c r="D62" s="75" t="n">
        <v>-0.00457223401724197</v>
      </c>
      <c r="E62" s="75" t="n">
        <v>0.0102716143583047</v>
      </c>
      <c r="F62" s="75" t="n">
        <v>0.0239323948136834</v>
      </c>
      <c r="G62" s="75" t="n">
        <v>0.0365966115230054</v>
      </c>
      <c r="H62" s="75" t="n">
        <v>0.0484091075643666</v>
      </c>
      <c r="I62" s="75" t="n">
        <v>0.0765504331261644</v>
      </c>
      <c r="J62" s="75" t="n">
        <v>0.0797127053173322</v>
      </c>
      <c r="K62" s="74" t="n">
        <v>18.6108661541767</v>
      </c>
      <c r="L62" s="7"/>
      <c r="M62" s="7"/>
    </row>
    <row r="63" customFormat="false" ht="15" hidden="false" customHeight="true" outlineLevel="0" collapsed="false">
      <c r="A63" s="7"/>
      <c r="B63" s="7"/>
      <c r="C63" s="72" t="n">
        <v>0.38</v>
      </c>
      <c r="D63" s="75" t="n">
        <v>0.00934737602720561</v>
      </c>
      <c r="E63" s="75" t="n">
        <v>0.0243330838248949</v>
      </c>
      <c r="F63" s="75" t="n">
        <v>0.0381282182947976</v>
      </c>
      <c r="G63" s="75" t="n">
        <v>0.0509199504650133</v>
      </c>
      <c r="H63" s="75" t="n">
        <v>0.0628537441262089</v>
      </c>
      <c r="I63" s="75" t="n">
        <v>0.0774785548799244</v>
      </c>
      <c r="J63" s="75" t="n">
        <v>0.0927724969577264</v>
      </c>
      <c r="K63" s="74" t="n">
        <v>50.0525834436633</v>
      </c>
      <c r="L63" s="7"/>
      <c r="M63" s="7"/>
    </row>
    <row r="64" customFormat="false" ht="15" hidden="false" customHeight="true" outlineLevel="0" collapsed="false">
      <c r="A64" s="7"/>
      <c r="B64" s="7"/>
      <c r="C64" s="72" t="n">
        <v>0.4</v>
      </c>
      <c r="D64" s="75" t="n">
        <v>0.0222200374770471</v>
      </c>
      <c r="E64" s="75" t="n">
        <v>0.037340602673515</v>
      </c>
      <c r="F64" s="75" t="n">
        <v>0.0512631110579527</v>
      </c>
      <c r="G64" s="75" t="n">
        <v>0.0641754726636144</v>
      </c>
      <c r="H64" s="75" t="n">
        <v>0.0762238125203495</v>
      </c>
      <c r="I64" s="75" t="n">
        <v>0.0882829035199455</v>
      </c>
      <c r="J64" s="75" t="n">
        <v>0.104969297565643</v>
      </c>
      <c r="K64" s="74" t="n">
        <v>81.4943007331509</v>
      </c>
      <c r="L64" s="7"/>
      <c r="M64" s="7"/>
    </row>
    <row r="65" customFormat="false" ht="15" hidden="false" customHeight="true" outlineLevel="0" collapsed="false">
      <c r="A65" s="7"/>
      <c r="B65" s="7"/>
      <c r="C65" s="72" t="n">
        <v>0.42</v>
      </c>
      <c r="D65" s="75" t="n">
        <v>0.0342025823217131</v>
      </c>
      <c r="E65" s="75" t="n">
        <v>0.0494515461454136</v>
      </c>
      <c r="F65" s="75" t="n">
        <v>0.063495065891579</v>
      </c>
      <c r="G65" s="75" t="n">
        <v>0.0765218339805821</v>
      </c>
      <c r="H65" s="75" t="n">
        <v>0.0774785548799244</v>
      </c>
      <c r="I65" s="75" t="n">
        <v>0.0994566619463816</v>
      </c>
      <c r="J65" s="75" t="n">
        <v>0.116417810114215</v>
      </c>
      <c r="K65" s="74" t="n">
        <v>112.936018022639</v>
      </c>
      <c r="L65" s="7"/>
      <c r="M65" s="7"/>
    </row>
    <row r="66" customFormat="false" ht="15" hidden="false" customHeight="true" outlineLevel="0" collapsed="false">
      <c r="A66" s="7"/>
      <c r="B66" s="7"/>
      <c r="C66" s="72" t="n">
        <v>0.44</v>
      </c>
      <c r="D66" s="75" t="n">
        <v>0.0454183396045376</v>
      </c>
      <c r="E66" s="75" t="n">
        <v>0.0607897743194166</v>
      </c>
      <c r="F66" s="75" t="n">
        <v>0.0749485159700674</v>
      </c>
      <c r="G66" s="75" t="n">
        <v>0.0774785548799244</v>
      </c>
      <c r="H66" s="75" t="n">
        <v>0.0842639869272847</v>
      </c>
      <c r="I66" s="75" t="n">
        <v>0.109996450107104</v>
      </c>
      <c r="J66" s="75" t="n">
        <v>0.127210814641269</v>
      </c>
      <c r="K66" s="74" t="n">
        <v>144.377735312126</v>
      </c>
      <c r="L66" s="7"/>
      <c r="M66" s="7"/>
    </row>
    <row r="67" customFormat="false" ht="15" hidden="false" customHeight="true" outlineLevel="0" collapsed="false">
      <c r="A67" s="7"/>
      <c r="B67" s="5" t="s">
        <v>403</v>
      </c>
      <c r="C67" s="7"/>
      <c r="D67" s="7"/>
      <c r="E67" s="7"/>
      <c r="F67" s="7"/>
      <c r="G67" s="7"/>
      <c r="H67" s="7"/>
      <c r="I67" s="7"/>
      <c r="J67" s="7"/>
      <c r="K67" s="7"/>
      <c r="L67" s="7"/>
      <c r="M67" s="7"/>
    </row>
    <row r="68" customFormat="false" ht="15" hidden="false" customHeight="true" outlineLevel="0" collapsed="false">
      <c r="A68" s="7"/>
      <c r="B68" s="6" t="s">
        <v>404</v>
      </c>
      <c r="C68" s="6"/>
      <c r="D68" s="6" t="s">
        <v>399</v>
      </c>
      <c r="E68" s="6"/>
      <c r="F68" s="6"/>
      <c r="G68" s="6"/>
      <c r="H68" s="6"/>
      <c r="I68" s="6"/>
      <c r="J68" s="6"/>
      <c r="K68" s="6"/>
      <c r="L68" s="6"/>
      <c r="M68" s="7"/>
    </row>
    <row r="69" customFormat="false" ht="15" hidden="false" customHeight="true" outlineLevel="0" collapsed="false">
      <c r="A69" s="7"/>
      <c r="B69" s="7"/>
      <c r="C69" s="31" t="s">
        <v>405</v>
      </c>
      <c r="D69" s="70" t="n">
        <v>12</v>
      </c>
      <c r="E69" s="70" t="n">
        <v>13.5</v>
      </c>
      <c r="F69" s="70" t="n">
        <v>15</v>
      </c>
      <c r="G69" s="70" t="n">
        <v>16.5</v>
      </c>
      <c r="H69" s="70" t="n">
        <v>18</v>
      </c>
      <c r="I69" s="70" t="n">
        <v>22</v>
      </c>
      <c r="J69" s="70" t="n">
        <v>25</v>
      </c>
      <c r="K69" s="71" t="s">
        <v>406</v>
      </c>
      <c r="L69" s="7"/>
      <c r="M69" s="7"/>
    </row>
    <row r="70" customFormat="false" ht="15" hidden="false" customHeight="true" outlineLevel="0" collapsed="false">
      <c r="A70" s="7"/>
      <c r="B70" s="7"/>
      <c r="C70" s="72" t="n">
        <v>0.15</v>
      </c>
      <c r="D70" s="75" t="n">
        <v>0.0411957343592593</v>
      </c>
      <c r="E70" s="75" t="n">
        <v>0.0566822458898631</v>
      </c>
      <c r="F70" s="75" t="n">
        <v>0.0709343761841832</v>
      </c>
      <c r="G70" s="75" t="n">
        <v>0.0774785548799243</v>
      </c>
      <c r="H70" s="75" t="n">
        <v>0.0808876933272161</v>
      </c>
      <c r="I70" s="75" t="n">
        <v>0.106675461522573</v>
      </c>
      <c r="J70" s="75" t="n">
        <v>0.123917374278894</v>
      </c>
      <c r="K70" s="74" t="n">
        <v>28.3962467776031</v>
      </c>
      <c r="L70" s="7"/>
      <c r="M70" s="7"/>
    </row>
    <row r="71" customFormat="false" ht="15" hidden="false" customHeight="true" outlineLevel="0" collapsed="false">
      <c r="A71" s="7"/>
      <c r="B71" s="7"/>
      <c r="C71" s="72" t="n">
        <v>0.2</v>
      </c>
      <c r="D71" s="75" t="n">
        <v>0.0328326195957358</v>
      </c>
      <c r="E71" s="75" t="n">
        <v>0.048173374483526</v>
      </c>
      <c r="F71" s="75" t="n">
        <v>0.0622934024297271</v>
      </c>
      <c r="G71" s="75" t="n">
        <v>0.0753849451538198</v>
      </c>
      <c r="H71" s="75" t="n">
        <v>0.0774785548799244</v>
      </c>
      <c r="I71" s="75" t="n">
        <v>0.0986055893024888</v>
      </c>
      <c r="J71" s="75" t="n">
        <v>0.115616263687811</v>
      </c>
      <c r="K71" s="74" t="n">
        <v>29.7764118801585</v>
      </c>
      <c r="L71" s="7"/>
      <c r="M71" s="7"/>
    </row>
    <row r="72" customFormat="false" ht="15" hidden="false" customHeight="true" outlineLevel="0" collapsed="false">
      <c r="A72" s="7"/>
      <c r="B72" s="7"/>
      <c r="C72" s="72" t="n">
        <v>0.25</v>
      </c>
      <c r="D72" s="75" t="n">
        <v>0.0249948213586401</v>
      </c>
      <c r="E72" s="75" t="n">
        <v>0.040197702809212</v>
      </c>
      <c r="F72" s="75" t="n">
        <v>0.0541928516592912</v>
      </c>
      <c r="G72" s="75" t="n">
        <v>0.0671701560149016</v>
      </c>
      <c r="H72" s="75" t="n">
        <v>0.0774785548799244</v>
      </c>
      <c r="I72" s="75" t="n">
        <v>0.091074660785995</v>
      </c>
      <c r="J72" s="75" t="n">
        <v>0.107865000411796</v>
      </c>
      <c r="K72" s="74" t="n">
        <v>31.1565769827139</v>
      </c>
      <c r="L72" s="7"/>
      <c r="M72" s="7"/>
    </row>
    <row r="73" customFormat="false" ht="15" hidden="false" customHeight="true" outlineLevel="0" collapsed="false">
      <c r="A73" s="7"/>
      <c r="B73" s="7"/>
      <c r="C73" s="72" t="n">
        <v>0.3</v>
      </c>
      <c r="D73" s="75" t="n">
        <v>0.0176248297297441</v>
      </c>
      <c r="E73" s="75" t="n">
        <v>0.032696868214924</v>
      </c>
      <c r="F73" s="75" t="n">
        <v>0.0465735782108778</v>
      </c>
      <c r="G73" s="75" t="n">
        <v>0.0594425931539506</v>
      </c>
      <c r="H73" s="75" t="n">
        <v>0.0714497928985059</v>
      </c>
      <c r="I73" s="75" t="n">
        <v>0.0840229476118282</v>
      </c>
      <c r="J73" s="75" t="n">
        <v>0.100602770245034</v>
      </c>
      <c r="K73" s="74" t="n">
        <v>32.5367420852694</v>
      </c>
      <c r="L73" s="7"/>
      <c r="M73" s="7"/>
    </row>
    <row r="74" customFormat="false" ht="15" hidden="false" customHeight="true" outlineLevel="0" collapsed="false">
      <c r="A74" s="7"/>
      <c r="B74" s="7"/>
      <c r="C74" s="72" t="n">
        <v>0.35</v>
      </c>
      <c r="D74" s="75" t="n">
        <v>0.0106739162138153</v>
      </c>
      <c r="E74" s="75" t="n">
        <v>0.025621419650581</v>
      </c>
      <c r="F74" s="75" t="n">
        <v>0.0393854675939145</v>
      </c>
      <c r="G74" s="75" t="n">
        <v>0.0521515281429951</v>
      </c>
      <c r="H74" s="75" t="n">
        <v>0.0640638611295833</v>
      </c>
      <c r="I74" s="75" t="n">
        <v>0.0774785548799244</v>
      </c>
      <c r="J74" s="75" t="n">
        <v>0.0937780701107995</v>
      </c>
      <c r="K74" s="74" t="n">
        <v>33.9169071878248</v>
      </c>
      <c r="L74" s="7"/>
      <c r="M74" s="7"/>
    </row>
    <row r="75" customFormat="false" ht="15" hidden="false" customHeight="true" outlineLevel="0" collapsed="false">
      <c r="A75" s="7"/>
      <c r="B75" s="7"/>
      <c r="C75" s="7"/>
      <c r="D75" s="7"/>
      <c r="E75" s="7"/>
      <c r="F75" s="7"/>
      <c r="G75" s="7"/>
      <c r="H75" s="7"/>
      <c r="I75" s="7"/>
      <c r="J75" s="7"/>
      <c r="K75" s="7"/>
      <c r="L75" s="7"/>
      <c r="M75" s="7"/>
    </row>
    <row r="76" customFormat="false" ht="15" hidden="false" customHeight="true" outlineLevel="0" collapsed="false">
      <c r="A76" s="7"/>
      <c r="B76" s="6" t="s">
        <v>407</v>
      </c>
      <c r="C76" s="6"/>
      <c r="D76" s="6" t="s">
        <v>399</v>
      </c>
      <c r="E76" s="6"/>
      <c r="F76" s="6"/>
      <c r="G76" s="6"/>
      <c r="H76" s="6"/>
      <c r="I76" s="6"/>
      <c r="J76" s="6"/>
      <c r="K76" s="6"/>
      <c r="L76" s="6"/>
      <c r="M76" s="7"/>
    </row>
    <row r="77" customFormat="false" ht="15" hidden="false" customHeight="true" outlineLevel="0" collapsed="false">
      <c r="A77" s="7"/>
      <c r="B77" s="7"/>
      <c r="C77" s="31" t="s">
        <v>408</v>
      </c>
      <c r="D77" s="70" t="n">
        <v>12</v>
      </c>
      <c r="E77" s="70" t="n">
        <v>13.5</v>
      </c>
      <c r="F77" s="70" t="n">
        <v>15</v>
      </c>
      <c r="G77" s="70" t="n">
        <v>16.5</v>
      </c>
      <c r="H77" s="70" t="n">
        <v>18</v>
      </c>
      <c r="I77" s="70" t="n">
        <v>22</v>
      </c>
      <c r="J77" s="70" t="n">
        <v>25</v>
      </c>
      <c r="K77" s="71" t="s">
        <v>409</v>
      </c>
      <c r="L77" s="7"/>
      <c r="M77" s="7"/>
    </row>
    <row r="78" customFormat="false" ht="15" hidden="false" customHeight="true" outlineLevel="0" collapsed="false">
      <c r="A78" s="7"/>
      <c r="B78" s="7"/>
      <c r="C78" s="70" t="n">
        <v>12</v>
      </c>
      <c r="D78" s="76" t="n">
        <v>4.6037412487089</v>
      </c>
      <c r="E78" s="76" t="n">
        <v>5.1012496555252</v>
      </c>
      <c r="F78" s="76" t="n">
        <v>5.5987580623415</v>
      </c>
      <c r="G78" s="76" t="n">
        <v>6.09626646915781</v>
      </c>
      <c r="H78" s="76" t="n">
        <v>6.59377487597411</v>
      </c>
      <c r="I78" s="76" t="n">
        <v>7.92046396081758</v>
      </c>
      <c r="J78" s="76" t="n">
        <v>8.91548077445019</v>
      </c>
      <c r="K78" s="74" t="n">
        <v>271.645293694583</v>
      </c>
      <c r="L78" s="7"/>
      <c r="M78" s="7"/>
    </row>
    <row r="79" customFormat="false" ht="15" hidden="false" customHeight="true" outlineLevel="0" collapsed="false">
      <c r="A79" s="7"/>
      <c r="B79" s="7"/>
      <c r="C79" s="70" t="n">
        <v>13.5</v>
      </c>
      <c r="D79" s="76" t="n">
        <v>3.81369065828529</v>
      </c>
      <c r="E79" s="76" t="n">
        <v>4.22431151142948</v>
      </c>
      <c r="F79" s="76" t="n">
        <v>4.63493236457367</v>
      </c>
      <c r="G79" s="76" t="n">
        <v>5.04555321771786</v>
      </c>
      <c r="H79" s="76" t="n">
        <v>5.45617407086206</v>
      </c>
      <c r="I79" s="76" t="n">
        <v>6.55116301257991</v>
      </c>
      <c r="J79" s="76" t="n">
        <v>7.37240471886829</v>
      </c>
      <c r="K79" s="74" t="n">
        <v>298.492364784117</v>
      </c>
      <c r="L79" s="7"/>
      <c r="M79" s="7"/>
    </row>
    <row r="80" customFormat="false" ht="15" hidden="false" customHeight="true" outlineLevel="0" collapsed="false">
      <c r="A80" s="7"/>
      <c r="B80" s="7"/>
      <c r="C80" s="70" t="n">
        <v>15</v>
      </c>
      <c r="D80" s="73" t="n">
        <v>3.2585683278782</v>
      </c>
      <c r="E80" s="77" t="n">
        <v>3.6081383801465</v>
      </c>
      <c r="F80" s="76" t="n">
        <v>3.9577084324148</v>
      </c>
      <c r="G80" s="76" t="n">
        <v>4.3072784846831</v>
      </c>
      <c r="H80" s="76" t="n">
        <v>4.6568485369514</v>
      </c>
      <c r="I80" s="76" t="n">
        <v>5.5890353430002</v>
      </c>
      <c r="J80" s="76" t="n">
        <v>6.28817544753681</v>
      </c>
      <c r="K80" s="74" t="n">
        <v>325.339435873651</v>
      </c>
      <c r="L80" s="7"/>
      <c r="M80" s="7"/>
    </row>
    <row r="81" customFormat="false" ht="15" hidden="false" customHeight="true" outlineLevel="0" collapsed="false">
      <c r="A81" s="7"/>
      <c r="B81" s="7"/>
      <c r="C81" s="70" t="n">
        <v>16.5</v>
      </c>
      <c r="D81" s="73" t="n">
        <v>2.8471504688617</v>
      </c>
      <c r="E81" s="73" t="n">
        <v>3.1514739359869</v>
      </c>
      <c r="F81" s="73" t="n">
        <v>3.4557974031121</v>
      </c>
      <c r="G81" s="76" t="n">
        <v>3.7601208702373</v>
      </c>
      <c r="H81" s="76" t="n">
        <v>4.0644443373625</v>
      </c>
      <c r="I81" s="76" t="n">
        <v>4.8759735830297</v>
      </c>
      <c r="J81" s="76" t="n">
        <v>5.4846205172801</v>
      </c>
      <c r="K81" s="74" t="n">
        <v>352.176117896746</v>
      </c>
      <c r="L81" s="7"/>
      <c r="M81" s="7"/>
    </row>
    <row r="82" customFormat="false" ht="15" hidden="false" customHeight="true" outlineLevel="0" collapsed="false">
      <c r="A82" s="7"/>
      <c r="B82" s="7"/>
      <c r="C82" s="70" t="n">
        <v>18</v>
      </c>
      <c r="D82" s="73" t="n">
        <v>2.53003083045433</v>
      </c>
      <c r="E82" s="73" t="n">
        <v>2.79947836692827</v>
      </c>
      <c r="F82" s="73" t="n">
        <v>3.0689259034022</v>
      </c>
      <c r="G82" s="73" t="n">
        <v>3.33837343987614</v>
      </c>
      <c r="H82" s="76" t="n">
        <v>3.60782097635008</v>
      </c>
      <c r="I82" s="76" t="n">
        <v>4.32634774028059</v>
      </c>
      <c r="J82" s="76" t="n">
        <v>4.86524281322847</v>
      </c>
      <c r="K82" s="74" t="n">
        <v>378.89562661856</v>
      </c>
      <c r="L82" s="7"/>
      <c r="M82" s="7"/>
    </row>
    <row r="83" customFormat="false" ht="15" hidden="false" customHeight="true" outlineLevel="0" collapsed="false">
      <c r="A83" s="7"/>
      <c r="B83" s="7"/>
      <c r="C83" s="7"/>
      <c r="D83" s="7"/>
      <c r="E83" s="7"/>
      <c r="F83" s="7"/>
      <c r="G83" s="7"/>
      <c r="H83" s="7"/>
      <c r="I83" s="7"/>
      <c r="J83" s="7"/>
      <c r="K83" s="7"/>
      <c r="L83" s="7"/>
      <c r="M83" s="7"/>
    </row>
    <row r="84" customFormat="false" ht="15" hidden="false" customHeight="true" outlineLevel="0" collapsed="false">
      <c r="A84" s="7"/>
      <c r="B84" s="6" t="s">
        <v>410</v>
      </c>
      <c r="C84" s="6"/>
      <c r="D84" s="6" t="s">
        <v>399</v>
      </c>
      <c r="E84" s="6"/>
      <c r="F84" s="6"/>
      <c r="G84" s="6"/>
      <c r="H84" s="6"/>
      <c r="I84" s="6"/>
      <c r="J84" s="6"/>
      <c r="K84" s="6"/>
      <c r="L84" s="6"/>
      <c r="M84" s="7"/>
    </row>
    <row r="85" customFormat="false" ht="15" hidden="false" customHeight="true" outlineLevel="0" collapsed="false">
      <c r="A85" s="7"/>
      <c r="B85" s="7"/>
      <c r="C85" s="31" t="s">
        <v>408</v>
      </c>
      <c r="D85" s="70" t="n">
        <v>12</v>
      </c>
      <c r="E85" s="70" t="n">
        <v>13.5</v>
      </c>
      <c r="F85" s="70" t="n">
        <v>15</v>
      </c>
      <c r="G85" s="70" t="n">
        <v>16.5</v>
      </c>
      <c r="H85" s="70" t="n">
        <v>18</v>
      </c>
      <c r="I85" s="70" t="n">
        <v>22</v>
      </c>
      <c r="J85" s="70" t="n">
        <v>25</v>
      </c>
      <c r="K85" s="71" t="s">
        <v>409</v>
      </c>
      <c r="L85" s="7"/>
      <c r="M85" s="7"/>
    </row>
    <row r="86" customFormat="false" ht="15" hidden="false" customHeight="true" outlineLevel="0" collapsed="false">
      <c r="A86" s="7"/>
      <c r="B86" s="7"/>
      <c r="C86" s="70" t="n">
        <v>12</v>
      </c>
      <c r="D86" s="78" t="n">
        <v>0.205825555323861</v>
      </c>
      <c r="E86" s="78" t="n">
        <v>0.223063111804153</v>
      </c>
      <c r="F86" s="78" t="n">
        <v>0.238968131719911</v>
      </c>
      <c r="G86" s="78" t="n">
        <v>0.253745205430965</v>
      </c>
      <c r="H86" s="78" t="n">
        <v>0.267554289851163</v>
      </c>
      <c r="I86" s="78" t="n">
        <v>0.300542044585742</v>
      </c>
      <c r="J86" s="78" t="n">
        <v>0.322371767839655</v>
      </c>
      <c r="K86" s="74" t="n">
        <v>271.645293694583</v>
      </c>
      <c r="L86" s="7"/>
      <c r="M86" s="7"/>
    </row>
    <row r="87" customFormat="false" ht="15" hidden="false" customHeight="true" outlineLevel="0" collapsed="false">
      <c r="A87" s="7"/>
      <c r="B87" s="7"/>
      <c r="C87" s="70" t="n">
        <v>13.5</v>
      </c>
      <c r="D87" s="75" t="n">
        <v>0.175023212361419</v>
      </c>
      <c r="E87" s="75" t="n">
        <v>0.191620741159939</v>
      </c>
      <c r="F87" s="78" t="n">
        <v>0.206950101169794</v>
      </c>
      <c r="G87" s="78" t="n">
        <v>0.221203893768164</v>
      </c>
      <c r="H87" s="78" t="n">
        <v>0.234533126025407</v>
      </c>
      <c r="I87" s="78" t="n">
        <v>0.266406068330844</v>
      </c>
      <c r="J87" s="78" t="n">
        <v>0.287519237110305</v>
      </c>
      <c r="K87" s="74" t="n">
        <v>298.492364784117</v>
      </c>
      <c r="L87" s="7"/>
      <c r="M87" s="7"/>
    </row>
    <row r="88" customFormat="false" ht="15" hidden="false" customHeight="true" outlineLevel="0" collapsed="false">
      <c r="A88" s="7"/>
      <c r="B88" s="7"/>
      <c r="C88" s="70" t="n">
        <v>15</v>
      </c>
      <c r="D88" s="75" t="n">
        <v>0.150109691574131</v>
      </c>
      <c r="E88" s="75" t="n">
        <v>0.16616262386472</v>
      </c>
      <c r="F88" s="75" t="n">
        <v>0.181003129512736</v>
      </c>
      <c r="G88" s="75" t="n">
        <v>0.194813366775521</v>
      </c>
      <c r="H88" s="78" t="n">
        <v>0.207736548754954</v>
      </c>
      <c r="I88" s="78" t="n">
        <v>0.238668693510401</v>
      </c>
      <c r="J88" s="78" t="n">
        <v>0.259179010056999</v>
      </c>
      <c r="K88" s="74" t="n">
        <v>325.339435873651</v>
      </c>
      <c r="L88" s="7"/>
      <c r="M88" s="7"/>
    </row>
    <row r="89" customFormat="false" ht="15" hidden="false" customHeight="true" outlineLevel="0" collapsed="false">
      <c r="A89" s="7"/>
      <c r="B89" s="7"/>
      <c r="C89" s="70" t="n">
        <v>16.5</v>
      </c>
      <c r="D89" s="75" t="n">
        <v>0.129337598034473</v>
      </c>
      <c r="E89" s="75" t="n">
        <v>0.144914484502853</v>
      </c>
      <c r="F89" s="75" t="n">
        <v>0.15932834237773</v>
      </c>
      <c r="G89" s="75" t="n">
        <v>0.172752046751849</v>
      </c>
      <c r="H89" s="75" t="n">
        <v>0.185321879532488</v>
      </c>
      <c r="I89" s="78" t="n">
        <v>0.215437214405184</v>
      </c>
      <c r="J89" s="78" t="n">
        <v>0.235425519334458</v>
      </c>
      <c r="K89" s="74" t="n">
        <v>352.176117896746</v>
      </c>
      <c r="L89" s="7"/>
      <c r="M89" s="7"/>
    </row>
    <row r="90" customFormat="false" ht="15" hidden="false" customHeight="true" outlineLevel="0" collapsed="false">
      <c r="A90" s="7"/>
      <c r="B90" s="7"/>
      <c r="C90" s="70" t="n">
        <v>18</v>
      </c>
      <c r="D90" s="75" t="n">
        <v>0.11162576634317</v>
      </c>
      <c r="E90" s="75" t="n">
        <v>0.126778400533425</v>
      </c>
      <c r="F90" s="75" t="n">
        <v>0.140812498559365</v>
      </c>
      <c r="G90" s="75" t="n">
        <v>0.153892565740724</v>
      </c>
      <c r="H90" s="75" t="n">
        <v>0.166148629127788</v>
      </c>
      <c r="I90" s="75" t="n">
        <v>0.195540058717629</v>
      </c>
      <c r="J90" s="78" t="n">
        <v>0.215066790435797</v>
      </c>
      <c r="K90" s="74" t="n">
        <v>378.89562661856</v>
      </c>
      <c r="L90" s="7"/>
      <c r="M90" s="7"/>
    </row>
    <row r="91" customFormat="false" ht="15" hidden="false" customHeight="true" outlineLevel="0" collapsed="false">
      <c r="A91" s="7"/>
      <c r="B91" s="7"/>
      <c r="C91" s="7"/>
      <c r="D91" s="7"/>
      <c r="E91" s="7"/>
      <c r="F91" s="7"/>
      <c r="G91" s="7"/>
      <c r="H91" s="7"/>
      <c r="I91" s="7"/>
      <c r="J91" s="7"/>
      <c r="K91" s="7"/>
      <c r="L91" s="7"/>
      <c r="M91" s="7"/>
    </row>
    <row r="92" customFormat="false" ht="15" hidden="false" customHeight="true" outlineLevel="0" collapsed="false">
      <c r="A92" s="7"/>
      <c r="B92" s="5" t="s">
        <v>411</v>
      </c>
      <c r="C92" s="7"/>
      <c r="D92" s="7"/>
      <c r="E92" s="7"/>
      <c r="F92" s="7"/>
      <c r="G92" s="7"/>
      <c r="H92" s="7"/>
      <c r="I92" s="7"/>
      <c r="J92" s="7"/>
      <c r="K92" s="7"/>
      <c r="L92" s="7"/>
      <c r="M92" s="7"/>
    </row>
    <row r="93" customFormat="false" ht="15" hidden="false" customHeight="true" outlineLevel="0" collapsed="false">
      <c r="A93" s="7"/>
      <c r="B93" s="7"/>
      <c r="C93" s="7"/>
      <c r="D93" s="7"/>
      <c r="E93" s="7"/>
      <c r="F93" s="7"/>
      <c r="G93" s="7"/>
      <c r="H93" s="7"/>
      <c r="I93" s="7"/>
      <c r="J93" s="7"/>
      <c r="K93" s="7"/>
      <c r="L93" s="7"/>
      <c r="M93" s="7"/>
    </row>
    <row r="94" customFormat="false" ht="15" hidden="false" customHeight="true" outlineLevel="0" collapsed="false">
      <c r="A94" s="7"/>
      <c r="B94" s="6" t="s">
        <v>412</v>
      </c>
      <c r="C94" s="6"/>
      <c r="D94" s="6" t="s">
        <v>399</v>
      </c>
      <c r="E94" s="6"/>
      <c r="F94" s="6"/>
      <c r="G94" s="6"/>
      <c r="H94" s="6"/>
      <c r="I94" s="6"/>
      <c r="J94" s="6"/>
      <c r="K94" s="6"/>
      <c r="L94" s="6"/>
      <c r="M94" s="7"/>
    </row>
    <row r="95" customFormat="false" ht="15" hidden="false" customHeight="true" outlineLevel="0" collapsed="false">
      <c r="A95" s="7"/>
      <c r="B95" s="7"/>
      <c r="C95" s="31" t="s">
        <v>413</v>
      </c>
      <c r="D95" s="70" t="n">
        <v>16</v>
      </c>
      <c r="E95" s="70" t="n">
        <v>18</v>
      </c>
      <c r="F95" s="70" t="n">
        <v>22</v>
      </c>
      <c r="G95" s="70" t="n">
        <v>25</v>
      </c>
      <c r="H95" s="7"/>
      <c r="I95" s="7"/>
      <c r="J95" s="7"/>
      <c r="K95" s="7"/>
      <c r="L95" s="7"/>
      <c r="M95" s="7"/>
    </row>
    <row r="96" customFormat="false" ht="15" hidden="false" customHeight="true" outlineLevel="0" collapsed="false">
      <c r="A96" s="7"/>
      <c r="B96" s="7"/>
      <c r="C96" s="70" t="n">
        <v>4</v>
      </c>
      <c r="D96" s="75" t="n">
        <v>0.0658651061013528</v>
      </c>
      <c r="E96" s="75" t="n">
        <v>0.0807180178082935</v>
      </c>
      <c r="F96" s="75" t="n">
        <v>0.107198695555471</v>
      </c>
      <c r="G96" s="75" t="n">
        <v>0.124079108467414</v>
      </c>
      <c r="H96" s="7"/>
      <c r="I96" s="7"/>
      <c r="J96" s="7"/>
      <c r="K96" s="7"/>
      <c r="L96" s="7"/>
      <c r="M96" s="7"/>
    </row>
    <row r="97" customFormat="false" ht="15" hidden="false" customHeight="true" outlineLevel="0" collapsed="false">
      <c r="A97" s="7"/>
      <c r="B97" s="7"/>
      <c r="C97" s="70" t="n">
        <v>5</v>
      </c>
      <c r="D97" s="75" t="n">
        <v>0.066762925944178</v>
      </c>
      <c r="E97" s="75" t="n">
        <v>0.0820285439641029</v>
      </c>
      <c r="F97" s="75" t="n">
        <v>0.109167851186566</v>
      </c>
      <c r="G97" s="75" t="n">
        <v>0.126423569094786</v>
      </c>
      <c r="H97" s="7"/>
      <c r="I97" s="7"/>
      <c r="J97" s="7"/>
      <c r="K97" s="7"/>
      <c r="L97" s="7"/>
      <c r="M97" s="7"/>
    </row>
    <row r="98" customFormat="false" ht="15" hidden="false" customHeight="true" outlineLevel="0" collapsed="false">
      <c r="A98" s="7"/>
      <c r="B98" s="7"/>
      <c r="C98" s="70" t="n">
        <v>6</v>
      </c>
      <c r="D98" s="75" t="n">
        <v>0.0676487599324706</v>
      </c>
      <c r="E98" s="75" t="n">
        <v>0.0833567128286697</v>
      </c>
      <c r="F98" s="75" t="n">
        <v>0.111197838959669</v>
      </c>
      <c r="G98" s="75" t="n">
        <v>0.128851372763271</v>
      </c>
      <c r="H98" s="7"/>
      <c r="I98" s="7"/>
      <c r="J98" s="7"/>
      <c r="K98" s="7"/>
      <c r="L98" s="7"/>
      <c r="M98" s="7"/>
    </row>
    <row r="99" customFormat="false" ht="15" hidden="false" customHeight="true" outlineLevel="0" collapsed="false">
      <c r="A99" s="7"/>
      <c r="B99" s="7"/>
      <c r="C99" s="70" t="n">
        <v>7</v>
      </c>
      <c r="D99" s="75" t="n">
        <v>0.0685352732845427</v>
      </c>
      <c r="E99" s="75" t="n">
        <v>0.0847172128717806</v>
      </c>
      <c r="F99" s="75" t="n">
        <v>0.113305776157401</v>
      </c>
      <c r="G99" s="75" t="n">
        <v>0.13138065782173</v>
      </c>
      <c r="H99" s="7"/>
      <c r="I99" s="7"/>
      <c r="J99" s="7"/>
      <c r="K99" s="7"/>
      <c r="L99" s="7"/>
      <c r="M99" s="7"/>
    </row>
    <row r="100" customFormat="false" ht="15" hidden="false" customHeight="true" outlineLevel="0" collapsed="false">
      <c r="A100" s="7"/>
      <c r="B100" s="7"/>
      <c r="C100" s="70" t="n">
        <v>8</v>
      </c>
      <c r="D100" s="75" t="n">
        <v>0.0694232834706262</v>
      </c>
      <c r="E100" s="75" t="n">
        <v>0.0861142660902251</v>
      </c>
      <c r="F100" s="75" t="n">
        <v>0.115500312311842</v>
      </c>
      <c r="G100" s="75" t="n">
        <v>0.134022140371552</v>
      </c>
      <c r="H100" s="7"/>
      <c r="I100" s="7"/>
      <c r="J100" s="7"/>
      <c r="K100" s="7"/>
      <c r="L100" s="7"/>
      <c r="M100" s="7"/>
    </row>
    <row r="101" customFormat="false" ht="15" hidden="false" customHeight="true" outlineLevel="0" collapsed="false">
      <c r="A101" s="7"/>
      <c r="B101" s="7"/>
      <c r="C101" s="70" t="n">
        <v>9</v>
      </c>
      <c r="D101" s="75" t="n">
        <v>0.0702445216029291</v>
      </c>
      <c r="E101" s="75" t="n">
        <v>0.0874701558394939</v>
      </c>
      <c r="F101" s="75" t="n">
        <v>0.117687880769137</v>
      </c>
      <c r="G101" s="75" t="n">
        <v>0.136672880714658</v>
      </c>
      <c r="H101" s="7"/>
      <c r="I101" s="7"/>
      <c r="J101" s="7"/>
      <c r="K101" s="7"/>
      <c r="L101" s="7"/>
      <c r="M101" s="7"/>
    </row>
    <row r="102" customFormat="false" ht="15" hidden="false" customHeight="true" outlineLevel="0" collapsed="false">
      <c r="A102" s="7"/>
      <c r="B102" s="7"/>
      <c r="C102" s="70" t="n">
        <v>10</v>
      </c>
      <c r="D102" s="79" t="n">
        <v>0.0711005317234278</v>
      </c>
      <c r="E102" s="79" t="n">
        <v>0.0889199686167701</v>
      </c>
      <c r="F102" s="79" t="n">
        <v>0.120054582336368</v>
      </c>
      <c r="G102" s="79" t="n">
        <v>0.139546909086219</v>
      </c>
      <c r="H102" s="7"/>
      <c r="I102" s="7"/>
      <c r="J102" s="7"/>
      <c r="K102" s="7"/>
      <c r="L102" s="7"/>
      <c r="M102" s="7"/>
    </row>
    <row r="103" customFormat="false" ht="15" hidden="false" customHeight="true" outlineLevel="0" collapsed="false">
      <c r="A103" s="7"/>
      <c r="B103" s="7"/>
      <c r="C103" s="7"/>
      <c r="D103" s="7"/>
      <c r="E103" s="7"/>
      <c r="F103" s="7"/>
      <c r="G103" s="7"/>
      <c r="H103" s="7"/>
      <c r="I103" s="7"/>
      <c r="J103" s="7"/>
      <c r="K103" s="7"/>
      <c r="L103" s="7"/>
      <c r="M103" s="7"/>
    </row>
    <row r="104" customFormat="false" ht="15" hidden="false" customHeight="true" outlineLevel="0" collapsed="false">
      <c r="A104" s="7"/>
      <c r="B104" s="5" t="s">
        <v>414</v>
      </c>
      <c r="C104" s="7"/>
      <c r="D104" s="7"/>
      <c r="E104" s="7"/>
      <c r="F104" s="7"/>
      <c r="G104" s="7"/>
      <c r="H104" s="7"/>
      <c r="I104" s="7"/>
      <c r="J104" s="7"/>
      <c r="K104" s="7"/>
      <c r="L104" s="7"/>
      <c r="M104" s="7"/>
    </row>
    <row r="105" customFormat="false" ht="15" hidden="false" customHeight="true" outlineLevel="0" collapsed="false">
      <c r="A105" s="7"/>
      <c r="B105" s="7"/>
      <c r="C105" s="7"/>
      <c r="D105" s="7"/>
      <c r="E105" s="7"/>
      <c r="F105" s="7"/>
      <c r="G105" s="7"/>
      <c r="H105" s="7"/>
      <c r="I105" s="7"/>
      <c r="J105" s="7"/>
      <c r="K105" s="7"/>
      <c r="L105" s="7"/>
      <c r="M105" s="7"/>
    </row>
    <row r="106" customFormat="false" ht="15" hidden="false" customHeight="true" outlineLevel="0" collapsed="false">
      <c r="A106" s="7"/>
      <c r="B106" s="7"/>
      <c r="C106" s="7"/>
      <c r="D106" s="7"/>
      <c r="E106" s="7"/>
      <c r="F106" s="7"/>
      <c r="G106" s="7"/>
      <c r="H106" s="7"/>
      <c r="I106" s="7"/>
      <c r="J106" s="7"/>
      <c r="K106" s="7"/>
      <c r="L106" s="7"/>
      <c r="M106" s="7"/>
    </row>
    <row r="107" customFormat="false" ht="15" hidden="false" customHeight="true" outlineLevel="0" collapsed="false">
      <c r="A107" s="7"/>
      <c r="B107" s="7"/>
      <c r="C107" s="7"/>
      <c r="D107" s="7"/>
      <c r="E107" s="7"/>
      <c r="F107" s="7"/>
      <c r="G107" s="7"/>
      <c r="H107" s="7"/>
      <c r="I107" s="7"/>
      <c r="J107" s="7"/>
      <c r="K107" s="7"/>
      <c r="L107" s="7"/>
      <c r="M107" s="7"/>
    </row>
    <row r="108" customFormat="false" ht="15" hidden="false" customHeight="true" outlineLevel="0" collapsed="false">
      <c r="A108" s="7"/>
      <c r="B108" s="7"/>
      <c r="C108" s="7"/>
      <c r="D108" s="7"/>
      <c r="E108" s="7"/>
      <c r="F108" s="7"/>
      <c r="G108" s="7"/>
      <c r="H108" s="7"/>
      <c r="I108" s="7"/>
      <c r="J108" s="7"/>
      <c r="K108" s="7"/>
      <c r="L108" s="7"/>
      <c r="M108" s="7"/>
    </row>
    <row r="109" customFormat="false" ht="15" hidden="false" customHeight="true" outlineLevel="0" collapsed="false">
      <c r="A109" s="7"/>
      <c r="B109" s="7"/>
      <c r="C109" s="7"/>
      <c r="D109" s="7"/>
      <c r="E109" s="7"/>
      <c r="F109" s="7"/>
      <c r="G109" s="7"/>
      <c r="H109" s="7"/>
      <c r="I109" s="7"/>
      <c r="J109" s="7"/>
      <c r="K109" s="7"/>
      <c r="L109" s="7"/>
      <c r="M109" s="7"/>
    </row>
    <row r="110" customFormat="false" ht="15" hidden="false" customHeight="true" outlineLevel="0" collapsed="false">
      <c r="A110" s="7"/>
      <c r="B110" s="7"/>
      <c r="C110" s="7"/>
      <c r="D110" s="7"/>
      <c r="E110" s="7"/>
      <c r="F110" s="7"/>
      <c r="G110" s="7"/>
      <c r="H110" s="7"/>
      <c r="I110" s="7"/>
      <c r="J110" s="7"/>
      <c r="K110" s="7"/>
      <c r="L110" s="7"/>
      <c r="M110" s="7"/>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M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13" min="3" style="1" width="15"/>
  </cols>
  <sheetData>
    <row r="1" customFormat="false" ht="17.25" hidden="false" customHeight="true" outlineLevel="0" collapsed="false">
      <c r="B1" s="2" t="s">
        <v>415</v>
      </c>
    </row>
    <row r="2" customFormat="false" ht="15" hidden="false" customHeight="true" outlineLevel="0" collapsed="false">
      <c r="B2" s="63" t="s">
        <v>416</v>
      </c>
    </row>
    <row r="4" customFormat="false" ht="15" hidden="false" customHeight="true" outlineLevel="0" collapsed="false">
      <c r="B4" s="6" t="s">
        <v>417</v>
      </c>
      <c r="C4" s="6"/>
      <c r="D4" s="6"/>
      <c r="E4" s="6"/>
      <c r="F4" s="6"/>
      <c r="G4" s="6"/>
      <c r="H4" s="6"/>
      <c r="I4" s="6"/>
      <c r="J4" s="6"/>
      <c r="K4" s="6"/>
      <c r="L4" s="6"/>
      <c r="M4" s="6"/>
    </row>
    <row r="5" customFormat="false" ht="15" hidden="false" customHeight="true" outlineLevel="0" collapsed="false">
      <c r="B5" s="3" t="s">
        <v>418</v>
      </c>
      <c r="C5" s="31" t="s">
        <v>419</v>
      </c>
      <c r="D5" s="31" t="s">
        <v>420</v>
      </c>
      <c r="E5" s="31" t="s">
        <v>80</v>
      </c>
      <c r="F5" s="31" t="s">
        <v>79</v>
      </c>
      <c r="G5" s="31" t="s">
        <v>82</v>
      </c>
      <c r="H5" s="31" t="s">
        <v>421</v>
      </c>
      <c r="I5" s="31" t="s">
        <v>422</v>
      </c>
      <c r="J5" s="31" t="s">
        <v>423</v>
      </c>
    </row>
    <row r="6" customFormat="false" ht="15" hidden="false" customHeight="true" outlineLevel="0" collapsed="false">
      <c r="B6" s="7" t="s">
        <v>424</v>
      </c>
      <c r="C6" s="80" t="n">
        <v>0.3</v>
      </c>
      <c r="D6" s="80" t="n">
        <v>-0.126337920232839</v>
      </c>
      <c r="E6" s="75" t="n">
        <v>0.200000000000003</v>
      </c>
      <c r="F6" s="73" t="n">
        <v>3.58318080000006</v>
      </c>
      <c r="G6" s="75" t="n">
        <v>0.165059160465501</v>
      </c>
      <c r="H6" s="81" t="n">
        <v>52.2623075941761</v>
      </c>
      <c r="I6" s="81" t="n">
        <v>31.1382088692856</v>
      </c>
      <c r="J6" s="4" t="s">
        <v>425</v>
      </c>
    </row>
    <row r="7" customFormat="false" ht="15" hidden="false" customHeight="true" outlineLevel="0" collapsed="false">
      <c r="B7" s="7" t="s">
        <v>426</v>
      </c>
      <c r="C7" s="82" t="n">
        <v>22</v>
      </c>
      <c r="D7" s="82" t="n">
        <v>39.522197554378</v>
      </c>
      <c r="E7" s="75" t="n">
        <v>0.199999999999992</v>
      </c>
      <c r="F7" s="73" t="n">
        <v>3.58318079999982</v>
      </c>
      <c r="G7" s="75" t="n">
        <v>0.16505916046549</v>
      </c>
      <c r="H7" s="81" t="n">
        <v>91.0009641994937</v>
      </c>
      <c r="I7" s="81" t="n">
        <v>59.4539085404371</v>
      </c>
      <c r="J7" s="4" t="s">
        <v>427</v>
      </c>
    </row>
    <row r="8" customFormat="false" ht="15" hidden="false" customHeight="true" outlineLevel="0" collapsed="false">
      <c r="B8" s="7" t="s">
        <v>428</v>
      </c>
      <c r="C8" s="80" t="n">
        <v>0.392688503221804</v>
      </c>
      <c r="D8" s="80" t="n">
        <v>0.564592627508203</v>
      </c>
      <c r="E8" s="75" t="n">
        <v>0.200000000000001</v>
      </c>
      <c r="F8" s="73" t="n">
        <v>3.58318080000002</v>
      </c>
      <c r="G8" s="75" t="n">
        <v>0.165059160465499</v>
      </c>
      <c r="H8" s="81" t="n">
        <v>91.0009641994937</v>
      </c>
      <c r="I8" s="81" t="n">
        <v>59.4539085404371</v>
      </c>
      <c r="J8" s="4" t="s">
        <v>429</v>
      </c>
    </row>
    <row r="9" customFormat="false" ht="15" hidden="false" customHeight="true" outlineLevel="0" collapsed="false">
      <c r="B9" s="7" t="s">
        <v>430</v>
      </c>
      <c r="C9" s="82" t="n">
        <v>6</v>
      </c>
      <c r="D9" s="83" t="s">
        <v>431</v>
      </c>
      <c r="E9" s="75" t="n">
        <v>0.132066894413046</v>
      </c>
      <c r="F9" s="73" t="n">
        <v>2.38289349695852</v>
      </c>
      <c r="G9" s="75" t="n">
        <v>0.102805521125285</v>
      </c>
      <c r="H9" s="81" t="n">
        <v>62.2290141994937</v>
      </c>
      <c r="I9" s="81" t="n">
        <v>30.6819585404371</v>
      </c>
      <c r="J9" s="4" t="s">
        <v>432</v>
      </c>
    </row>
    <row r="10" customFormat="false" ht="15" hidden="false" customHeight="true" outlineLevel="0" collapsed="false">
      <c r="B10" s="7" t="s">
        <v>433</v>
      </c>
      <c r="C10" s="83" t="n">
        <v>7</v>
      </c>
      <c r="D10" s="83" t="s">
        <v>434</v>
      </c>
      <c r="E10" s="75" t="n">
        <v>0.111197838959669</v>
      </c>
      <c r="F10" s="73" t="n">
        <v>2.09189420505759</v>
      </c>
      <c r="J10" s="4" t="s">
        <v>435</v>
      </c>
    </row>
    <row r="11" customFormat="false" ht="15" hidden="false" customHeight="true" outlineLevel="0" collapsed="false">
      <c r="B11" s="7" t="s">
        <v>436</v>
      </c>
      <c r="C11" s="83" t="n">
        <v>7</v>
      </c>
      <c r="D11" s="83" t="s">
        <v>437</v>
      </c>
      <c r="E11" s="75" t="n">
        <v>0.203640316973977</v>
      </c>
      <c r="F11" s="73" t="n">
        <v>1.74377392443634</v>
      </c>
      <c r="J11" s="4" t="s">
        <v>438</v>
      </c>
    </row>
    <row r="12" customFormat="false" ht="15" hidden="false" customHeight="true" outlineLevel="0" collapsed="false">
      <c r="B12" s="7" t="s">
        <v>439</v>
      </c>
      <c r="C12" s="83" t="s">
        <v>434</v>
      </c>
      <c r="D12" s="83" t="s">
        <v>440</v>
      </c>
      <c r="E12" s="75" t="n">
        <v>0.117166580658884</v>
      </c>
      <c r="F12" s="73" t="n">
        <v>2.02913649479096</v>
      </c>
      <c r="G12" s="75" t="n">
        <v>0.0886360839825369</v>
      </c>
      <c r="H12" s="81" t="n">
        <v>91.0009641994937</v>
      </c>
      <c r="I12" s="81" t="n">
        <v>59.4539085404371</v>
      </c>
      <c r="J12" s="4" t="s">
        <v>441</v>
      </c>
    </row>
    <row r="13" customFormat="false" ht="15" hidden="false" customHeight="true" outlineLevel="0" collapsed="false">
      <c r="B13" s="7" t="s">
        <v>442</v>
      </c>
      <c r="C13" s="83" t="s">
        <v>5</v>
      </c>
      <c r="D13" s="83" t="s">
        <v>443</v>
      </c>
      <c r="E13" s="75" t="n">
        <v>0.176565821714755</v>
      </c>
      <c r="F13" s="73" t="n">
        <v>3.12114250644528</v>
      </c>
      <c r="G13" s="75" t="n">
        <v>0.143417369845563</v>
      </c>
      <c r="H13" s="81" t="n">
        <v>91.0009641994937</v>
      </c>
      <c r="I13" s="81" t="n">
        <v>59.4539085404371</v>
      </c>
      <c r="J13" s="4" t="s">
        <v>444</v>
      </c>
    </row>
    <row r="14" customFormat="false" ht="15" hidden="false" customHeight="true" outlineLevel="0" collapsed="false">
      <c r="B14" s="7" t="s">
        <v>445</v>
      </c>
      <c r="C14" s="83" t="s">
        <v>446</v>
      </c>
      <c r="D14" s="82" t="n">
        <v>29.1040408050219</v>
      </c>
      <c r="E14" s="75" t="n">
        <v>0.19999999999999</v>
      </c>
      <c r="F14" s="73" t="n">
        <v>3.58318079999979</v>
      </c>
      <c r="G14" s="75" t="n">
        <v>0.165059160465489</v>
      </c>
      <c r="H14" s="81" t="n">
        <v>91.0009641994937</v>
      </c>
      <c r="I14" s="81" t="n">
        <v>59.4539085404371</v>
      </c>
      <c r="J14" s="4" t="s">
        <v>447</v>
      </c>
    </row>
    <row r="15" customFormat="false" ht="15" hidden="false" customHeight="true" outlineLevel="0" collapsed="false">
      <c r="B15" s="7" t="s">
        <v>448</v>
      </c>
      <c r="C15" s="83" t="s">
        <v>449</v>
      </c>
      <c r="D15" s="83" t="s">
        <v>450</v>
      </c>
      <c r="E15" s="75" t="n">
        <v>0.173840991815532</v>
      </c>
      <c r="F15" s="73" t="n">
        <v>3.07089452673667</v>
      </c>
      <c r="G15" s="75" t="n">
        <v>0.14091134654631</v>
      </c>
      <c r="H15" s="81" t="n">
        <v>91.0009641994937</v>
      </c>
      <c r="I15" s="81" t="n">
        <v>59.4539085404371</v>
      </c>
      <c r="J15" s="4" t="s">
        <v>451</v>
      </c>
    </row>
    <row r="16" customFormat="false" ht="15" hidden="false" customHeight="true" outlineLevel="0" collapsed="false">
      <c r="B16" s="7" t="s">
        <v>452</v>
      </c>
      <c r="C16" s="83" t="s">
        <v>453</v>
      </c>
      <c r="D16" s="83" t="s">
        <v>453</v>
      </c>
      <c r="E16" s="75" t="n">
        <v>0.195111297053618</v>
      </c>
      <c r="F16" s="73" t="n">
        <v>3.18396237197092</v>
      </c>
      <c r="G16" s="75" t="n">
        <v>0.160498106417541</v>
      </c>
      <c r="H16" s="81" t="n">
        <v>84.5638641994937</v>
      </c>
      <c r="I16" s="81" t="n">
        <v>53.0168085404371</v>
      </c>
      <c r="J16" s="4" t="s">
        <v>454</v>
      </c>
    </row>
    <row r="17" customFormat="false" ht="15" hidden="false" customHeight="true" outlineLevel="0" collapsed="false">
      <c r="B17" s="7" t="s">
        <v>455</v>
      </c>
      <c r="E17" s="75" t="n">
        <v>-0.0129581786913344</v>
      </c>
      <c r="F17" s="73" t="n">
        <v>0.912743775383937</v>
      </c>
      <c r="G17" s="75" t="n">
        <v>-0.0285750301774383</v>
      </c>
      <c r="J17" s="7" t="s">
        <v>456</v>
      </c>
    </row>
    <row r="18" customFormat="false" ht="15" hidden="false" customHeight="true" outlineLevel="0" collapsed="false">
      <c r="B18" s="7" t="s">
        <v>457</v>
      </c>
      <c r="C18" s="80" t="n">
        <v>0</v>
      </c>
      <c r="D18" s="83" t="s">
        <v>453</v>
      </c>
      <c r="E18" s="75" t="n">
        <v>0.167302653034311</v>
      </c>
      <c r="F18" s="73" t="n">
        <v>2.95314184935837</v>
      </c>
      <c r="G18" s="75" t="n">
        <v>0.134907507119785</v>
      </c>
      <c r="H18" s="81" t="n">
        <v>63.7226848261951</v>
      </c>
      <c r="I18" s="81" t="n">
        <v>39.5150765321516</v>
      </c>
      <c r="J18" s="4" t="s">
        <v>458</v>
      </c>
    </row>
    <row r="19" customFormat="false" ht="15" hidden="false" customHeight="true" outlineLevel="0" collapsed="false">
      <c r="B19" s="3" t="s">
        <v>459</v>
      </c>
    </row>
    <row r="21" customFormat="false" ht="15" hidden="false" customHeight="true" outlineLevel="0" collapsed="false">
      <c r="B21" s="6" t="s">
        <v>460</v>
      </c>
      <c r="C21" s="6"/>
      <c r="D21" s="6"/>
      <c r="E21" s="6"/>
      <c r="F21" s="6"/>
      <c r="G21" s="6"/>
      <c r="H21" s="6"/>
      <c r="I21" s="6"/>
      <c r="J21" s="6"/>
      <c r="K21" s="6"/>
      <c r="L21" s="6"/>
      <c r="M21" s="6"/>
    </row>
    <row r="22" customFormat="false" ht="39.75" hidden="false" customHeight="true" outlineLevel="0" collapsed="false">
      <c r="B22" s="84" t="s">
        <v>430</v>
      </c>
      <c r="C22" s="85" t="s">
        <v>461</v>
      </c>
      <c r="D22" s="85" t="s">
        <v>421</v>
      </c>
      <c r="E22" s="85" t="s">
        <v>422</v>
      </c>
      <c r="F22" s="85" t="s">
        <v>80</v>
      </c>
      <c r="G22" s="85" t="s">
        <v>79</v>
      </c>
      <c r="H22" s="85" t="s">
        <v>82</v>
      </c>
      <c r="I22" s="85" t="s">
        <v>462</v>
      </c>
      <c r="J22" s="85" t="s">
        <v>463</v>
      </c>
      <c r="K22" s="85" t="s">
        <v>464</v>
      </c>
      <c r="L22" s="85" t="s">
        <v>465</v>
      </c>
      <c r="M22" s="85" t="s">
        <v>466</v>
      </c>
    </row>
    <row r="23" customFormat="false" ht="15" hidden="false" customHeight="true" outlineLevel="0" collapsed="false">
      <c r="B23" s="86" t="n">
        <v>4</v>
      </c>
      <c r="C23" s="87" t="n">
        <v>13.1</v>
      </c>
      <c r="D23" s="87" t="n">
        <v>97.4380641994936</v>
      </c>
      <c r="E23" s="87" t="n">
        <v>65.8910085404371</v>
      </c>
      <c r="F23" s="80" t="n">
        <v>0.107198695555471</v>
      </c>
      <c r="G23" s="88" t="n">
        <v>2.02920343124716</v>
      </c>
      <c r="H23" s="80" t="n">
        <v>0.0822845330238283</v>
      </c>
      <c r="I23" s="82" t="n">
        <v>4.43801676321201</v>
      </c>
      <c r="J23" s="82" t="n">
        <v>2.18400772409387</v>
      </c>
      <c r="K23" s="89" t="n">
        <v>0</v>
      </c>
      <c r="L23" s="90" t="n">
        <v>0</v>
      </c>
      <c r="M23" s="83" t="s">
        <v>467</v>
      </c>
    </row>
    <row r="24" customFormat="false" ht="15" hidden="false" customHeight="true" outlineLevel="0" collapsed="false">
      <c r="B24" s="86" t="n">
        <v>5</v>
      </c>
      <c r="C24" s="87" t="n">
        <v>16.4</v>
      </c>
      <c r="D24" s="87" t="n">
        <v>94.2195141994937</v>
      </c>
      <c r="E24" s="87" t="n">
        <v>62.6724585404371</v>
      </c>
      <c r="F24" s="80" t="n">
        <v>0.109167851186566</v>
      </c>
      <c r="G24" s="88" t="n">
        <v>2.05437274900049</v>
      </c>
      <c r="H24" s="80" t="n">
        <v>0.0840655581497522</v>
      </c>
      <c r="I24" s="82" t="n">
        <v>3.54610748274978</v>
      </c>
      <c r="J24" s="82" t="n">
        <v>3.1040822661991</v>
      </c>
      <c r="K24" s="89" t="n">
        <v>0</v>
      </c>
      <c r="L24" s="90" t="n">
        <v>0</v>
      </c>
      <c r="M24" s="83" t="s">
        <v>467</v>
      </c>
    </row>
    <row r="25" customFormat="false" ht="15" hidden="false" customHeight="true" outlineLevel="0" collapsed="false">
      <c r="B25" s="86" t="n">
        <v>6</v>
      </c>
      <c r="C25" s="87" t="n">
        <v>19.7</v>
      </c>
      <c r="D25" s="87" t="n">
        <v>91.0009641994937</v>
      </c>
      <c r="E25" s="87" t="n">
        <v>59.4539085404371</v>
      </c>
      <c r="F25" s="80" t="n">
        <v>0.111197838959669</v>
      </c>
      <c r="G25" s="88" t="n">
        <v>2.08059146767401</v>
      </c>
      <c r="H25" s="80" t="n">
        <v>0.0859023584937492</v>
      </c>
      <c r="I25" s="82" t="n">
        <v>2.95320119923702</v>
      </c>
      <c r="J25" s="82" t="n">
        <v>4.03518481744353</v>
      </c>
      <c r="K25" s="89" t="n">
        <v>166.784645336556</v>
      </c>
      <c r="L25" s="90" t="n">
        <v>0</v>
      </c>
      <c r="M25" s="83" t="s">
        <v>467</v>
      </c>
    </row>
    <row r="26" customFormat="false" ht="15" hidden="false" customHeight="true" outlineLevel="0" collapsed="false">
      <c r="B26" s="86" t="n">
        <v>7</v>
      </c>
      <c r="C26" s="87" t="n">
        <v>23</v>
      </c>
      <c r="D26" s="87" t="n">
        <v>87.7824141994936</v>
      </c>
      <c r="E26" s="87" t="n">
        <v>56.2353585404371</v>
      </c>
      <c r="F26" s="80" t="n">
        <v>0.113305776157401</v>
      </c>
      <c r="G26" s="88" t="n">
        <v>2.10811383380209</v>
      </c>
      <c r="H26" s="80" t="n">
        <v>0.0878106415715031</v>
      </c>
      <c r="I26" s="82" t="n">
        <v>2.5301604348459</v>
      </c>
      <c r="J26" s="82" t="n">
        <v>4.97010886583746</v>
      </c>
      <c r="K26" s="89" t="n">
        <v>391.140359622271</v>
      </c>
      <c r="L26" s="90" t="n">
        <v>0</v>
      </c>
      <c r="M26" s="83" t="s">
        <v>467</v>
      </c>
    </row>
    <row r="27" customFormat="false" ht="15" hidden="false" customHeight="true" outlineLevel="0" collapsed="false">
      <c r="B27" s="86" t="n">
        <v>8</v>
      </c>
      <c r="C27" s="87" t="n">
        <v>26.3</v>
      </c>
      <c r="D27" s="87" t="n">
        <v>84.5638641994937</v>
      </c>
      <c r="E27" s="87" t="n">
        <v>53.0168085404371</v>
      </c>
      <c r="F27" s="80" t="n">
        <v>0.115500312311842</v>
      </c>
      <c r="G27" s="88" t="n">
        <v>2.13709152741046</v>
      </c>
      <c r="H27" s="80" t="n">
        <v>0.0897983583843662</v>
      </c>
      <c r="I27" s="82" t="n">
        <v>2.21285285541359</v>
      </c>
      <c r="J27" s="82" t="n">
        <v>5.90509013731504</v>
      </c>
      <c r="K27" s="89" t="n">
        <v>615.711073907985</v>
      </c>
      <c r="L27" s="90" t="n">
        <v>0</v>
      </c>
      <c r="M27" s="83" t="s">
        <v>467</v>
      </c>
    </row>
    <row r="28" customFormat="false" ht="15" hidden="false" customHeight="true" outlineLevel="0" collapsed="false">
      <c r="B28" s="86" t="n">
        <v>9</v>
      </c>
      <c r="C28" s="87" t="n">
        <v>29.5</v>
      </c>
      <c r="D28" s="87" t="n">
        <v>81.4428141994937</v>
      </c>
      <c r="E28" s="87" t="n">
        <v>49.8957585404371</v>
      </c>
      <c r="F28" s="80" t="n">
        <v>0.117687880769137</v>
      </c>
      <c r="G28" s="88" t="n">
        <v>2.16630335194034</v>
      </c>
      <c r="H28" s="80" t="n">
        <v>0.0917803576289213</v>
      </c>
      <c r="I28" s="82" t="n">
        <v>1.97306302276753</v>
      </c>
      <c r="J28" s="82" t="n">
        <v>6.81170339776468</v>
      </c>
      <c r="K28" s="89" t="n">
        <v>833.339645336556</v>
      </c>
      <c r="L28" s="90" t="n">
        <v>0</v>
      </c>
      <c r="M28" s="83" t="s">
        <v>467</v>
      </c>
    </row>
    <row r="29" customFormat="false" ht="15" hidden="false" customHeight="true" outlineLevel="0" collapsed="false">
      <c r="B29" s="86" t="n">
        <v>10</v>
      </c>
      <c r="C29" s="87" t="n">
        <v>32.8</v>
      </c>
      <c r="D29" s="87" t="n">
        <v>78.2242641994937</v>
      </c>
      <c r="E29" s="87" t="n">
        <v>46.6772085404371</v>
      </c>
      <c r="F29" s="80" t="n">
        <v>0.120054582336368</v>
      </c>
      <c r="G29" s="88" t="n">
        <v>2.19828680735331</v>
      </c>
      <c r="H29" s="80" t="n">
        <v>0.0939259360550135</v>
      </c>
      <c r="I29" s="82" t="n">
        <v>1.77462396790815</v>
      </c>
      <c r="J29" s="82" t="n">
        <v>7.74668466924226</v>
      </c>
      <c r="K29" s="89" t="n">
        <v>1057.91035962227</v>
      </c>
      <c r="L29" s="90" t="n">
        <v>1</v>
      </c>
      <c r="M29" s="91" t="s">
        <v>468</v>
      </c>
    </row>
    <row r="30" customFormat="false" ht="15" hidden="false" customHeight="true" outlineLevel="0" collapsed="false">
      <c r="B30" s="86" t="n">
        <v>12</v>
      </c>
      <c r="C30" s="87" t="n">
        <v>39.4</v>
      </c>
      <c r="D30" s="87" t="n">
        <v>71.7871641994937</v>
      </c>
      <c r="E30" s="87" t="n">
        <v>40.2401085404371</v>
      </c>
      <c r="F30" s="80" t="n">
        <v>0.124385546850754</v>
      </c>
      <c r="G30" s="88" t="n">
        <v>2.25766400258024</v>
      </c>
      <c r="H30" s="80" t="n">
        <v>0.097843494377649</v>
      </c>
      <c r="I30" s="82" t="n">
        <v>1.47768948029713</v>
      </c>
      <c r="J30" s="82" t="n">
        <v>9.61653276603012</v>
      </c>
      <c r="K30" s="89" t="n">
        <v>1506.6217881937</v>
      </c>
      <c r="L30" s="90" t="n">
        <v>2</v>
      </c>
      <c r="M30" s="91" t="s">
        <v>468</v>
      </c>
    </row>
    <row r="31" customFormat="false" ht="15" hidden="false" customHeight="true" outlineLevel="0" collapsed="false">
      <c r="B31" s="86" t="n">
        <v>15</v>
      </c>
      <c r="C31" s="87" t="n">
        <v>49.2</v>
      </c>
      <c r="D31" s="87" t="n">
        <v>62.2290141994937</v>
      </c>
      <c r="E31" s="87" t="n">
        <v>30.6819585404371</v>
      </c>
      <c r="F31" s="80" t="n">
        <v>0.132066894413046</v>
      </c>
      <c r="G31" s="88" t="n">
        <v>2.36636487259846</v>
      </c>
      <c r="H31" s="80" t="n">
        <v>0.104805139887356</v>
      </c>
      <c r="I31" s="82" t="n">
        <v>1.18351214365575</v>
      </c>
      <c r="J31" s="82" t="n">
        <v>12.3930513463513</v>
      </c>
      <c r="K31" s="89" t="n">
        <v>2173.1767881937</v>
      </c>
      <c r="L31" s="90" t="n">
        <v>3</v>
      </c>
      <c r="M31" s="91" t="s">
        <v>468</v>
      </c>
    </row>
    <row r="32" customFormat="false" ht="42" hidden="false" customHeight="true" outlineLevel="0" collapsed="false">
      <c r="B32" s="92" t="s">
        <v>469</v>
      </c>
      <c r="C32" s="92"/>
      <c r="D32" s="92"/>
      <c r="E32" s="92"/>
      <c r="F32" s="92"/>
      <c r="G32" s="92"/>
      <c r="H32" s="92"/>
      <c r="I32" s="92"/>
      <c r="J32" s="92"/>
      <c r="K32" s="92"/>
      <c r="L32" s="92"/>
      <c r="M32" s="92"/>
    </row>
    <row r="34" customFormat="false" ht="15" hidden="false" customHeight="true" outlineLevel="0" collapsed="false">
      <c r="B34" s="6" t="s">
        <v>470</v>
      </c>
      <c r="C34" s="6"/>
      <c r="D34" s="6"/>
      <c r="E34" s="6"/>
      <c r="F34" s="6"/>
      <c r="G34" s="6"/>
      <c r="H34" s="6"/>
      <c r="I34" s="6"/>
      <c r="J34" s="6"/>
      <c r="K34" s="6"/>
      <c r="L34" s="6"/>
      <c r="M34" s="6"/>
    </row>
    <row r="35" customFormat="false" ht="51.75" hidden="false" customHeight="true" outlineLevel="0" collapsed="false">
      <c r="B35" s="84" t="s">
        <v>471</v>
      </c>
      <c r="C35" s="85" t="s">
        <v>80</v>
      </c>
      <c r="D35" s="85" t="s">
        <v>79</v>
      </c>
      <c r="E35" s="85" t="s">
        <v>82</v>
      </c>
      <c r="F35" s="85" t="s">
        <v>472</v>
      </c>
      <c r="G35" s="85" t="s">
        <v>473</v>
      </c>
      <c r="H35" s="85" t="s">
        <v>474</v>
      </c>
      <c r="I35" s="85" t="s">
        <v>475</v>
      </c>
      <c r="J35" s="85" t="s">
        <v>476</v>
      </c>
      <c r="K35" s="85" t="s">
        <v>477</v>
      </c>
      <c r="L35" s="85" t="s">
        <v>478</v>
      </c>
      <c r="M35" s="85" t="s">
        <v>466</v>
      </c>
    </row>
    <row r="36" customFormat="false" ht="15" hidden="false" customHeight="true" outlineLevel="0" collapsed="false">
      <c r="B36" s="7" t="s">
        <v>479</v>
      </c>
      <c r="C36" s="80" t="n">
        <v>0.111197838959669</v>
      </c>
      <c r="D36" s="88" t="n">
        <v>2.09189420505759</v>
      </c>
      <c r="E36" s="80" t="n">
        <v>0.0840229476118282</v>
      </c>
      <c r="F36" s="87" t="n">
        <v>0</v>
      </c>
      <c r="G36" s="87" t="n">
        <v>7.07</v>
      </c>
      <c r="H36" s="82" t="n">
        <v>2.95320119923702</v>
      </c>
      <c r="I36" s="82" t="n">
        <v>4.03518481744353</v>
      </c>
      <c r="J36" s="80" t="n">
        <v>1.14796793351781</v>
      </c>
      <c r="K36" s="89" t="n">
        <v>166.784645336556</v>
      </c>
      <c r="L36" s="93" t="n">
        <v>0</v>
      </c>
      <c r="M36" s="83" t="s">
        <v>467</v>
      </c>
    </row>
    <row r="37" customFormat="false" ht="15" hidden="false" customHeight="true" outlineLevel="0" collapsed="false">
      <c r="B37" s="7" t="s">
        <v>480</v>
      </c>
      <c r="C37" s="80" t="n">
        <v>0.112928093996941</v>
      </c>
      <c r="D37" s="88" t="n">
        <v>2.08885918674428</v>
      </c>
      <c r="E37" s="80" t="n">
        <v>0.0854580244228046</v>
      </c>
      <c r="F37" s="87" t="n">
        <v>18.4145232361621</v>
      </c>
      <c r="G37" s="87" t="n">
        <v>7.07</v>
      </c>
      <c r="H37" s="82" t="n">
        <v>8.29537617333859</v>
      </c>
      <c r="I37" s="82" t="n">
        <v>0.925948459623611</v>
      </c>
      <c r="J37" s="80" t="n">
        <v>0.423694601503862</v>
      </c>
      <c r="K37" s="89" t="n">
        <v>0</v>
      </c>
      <c r="L37" s="93" t="n">
        <v>0.172245399427999</v>
      </c>
      <c r="M37" s="83" t="s">
        <v>467</v>
      </c>
    </row>
    <row r="38" customFormat="false" ht="15" hidden="false" customHeight="true" outlineLevel="0" collapsed="false">
      <c r="B38" s="7" t="s">
        <v>481</v>
      </c>
      <c r="C38" s="80" t="n">
        <v>0.1127900745358</v>
      </c>
      <c r="D38" s="88" t="n">
        <v>2.08906270097681</v>
      </c>
      <c r="E38" s="80" t="n">
        <v>0.0853479957611856</v>
      </c>
      <c r="F38" s="87" t="n">
        <v>18.434653661585</v>
      </c>
      <c r="G38" s="87" t="n">
        <v>7.07</v>
      </c>
      <c r="H38" s="82" t="n">
        <v>12.7275836844605</v>
      </c>
      <c r="I38" s="82" t="n">
        <v>0.822423612422708</v>
      </c>
      <c r="J38" s="80" t="n">
        <v>0.268118479832697</v>
      </c>
      <c r="K38" s="89" t="n">
        <v>0</v>
      </c>
      <c r="L38" s="93" t="n">
        <v>0.158520655372953</v>
      </c>
      <c r="M38" s="83" t="s">
        <v>467</v>
      </c>
    </row>
    <row r="39" customFormat="false" ht="15" hidden="false" customHeight="true" outlineLevel="0" collapsed="false">
      <c r="B39" s="7" t="s">
        <v>482</v>
      </c>
      <c r="C39" s="80" t="n">
        <v>0.116646378665629</v>
      </c>
      <c r="D39" s="88" t="n">
        <v>2.04767480220452</v>
      </c>
      <c r="E39" s="80" t="n">
        <v>0.0882207082144148</v>
      </c>
      <c r="F39" s="87" t="n">
        <v>30.7883039503254</v>
      </c>
      <c r="G39" s="87" t="n">
        <v>23.5174966957721</v>
      </c>
      <c r="H39" s="82" t="n">
        <v>3.07111511816885</v>
      </c>
      <c r="I39" s="82" t="n">
        <v>4.7173398256956</v>
      </c>
      <c r="J39" s="80" t="n">
        <v>1.1072464071643</v>
      </c>
      <c r="K39" s="89" t="n">
        <v>193.540735997763</v>
      </c>
      <c r="L39" s="93" t="n">
        <v>0.539554947412363</v>
      </c>
      <c r="M39" s="83" t="s">
        <v>467</v>
      </c>
    </row>
    <row r="40" customFormat="false" ht="15" hidden="false" customHeight="true" outlineLevel="0" collapsed="false">
      <c r="B40" s="7" t="s">
        <v>483</v>
      </c>
      <c r="C40" s="80" t="n">
        <v>0.114581307223848</v>
      </c>
      <c r="D40" s="88" t="n">
        <v>2.06762145627948</v>
      </c>
      <c r="E40" s="80" t="n">
        <v>0.0867088779706032</v>
      </c>
      <c r="F40" s="87" t="n">
        <v>27.2901732379272</v>
      </c>
      <c r="G40" s="87" t="n">
        <v>18.0463608166619</v>
      </c>
      <c r="H40" s="82" t="n">
        <v>4.99697876421059</v>
      </c>
      <c r="I40" s="82" t="n">
        <v>2.75064224606186</v>
      </c>
      <c r="J40" s="80" t="n">
        <v>0.68648954176059</v>
      </c>
      <c r="K40" s="89" t="n">
        <v>0</v>
      </c>
      <c r="L40" s="93" t="n">
        <v>0.335525966075896</v>
      </c>
      <c r="M40" s="83" t="s">
        <v>467</v>
      </c>
    </row>
    <row r="41" customFormat="false" ht="15" hidden="false" customHeight="true" outlineLevel="0" collapsed="false">
      <c r="B41" s="7" t="s">
        <v>484</v>
      </c>
      <c r="C41" s="80" t="n">
        <v>0.115527225760768</v>
      </c>
      <c r="D41" s="88" t="n">
        <v>2.05598239079757</v>
      </c>
      <c r="E41" s="80" t="n">
        <v>0.0874282894665656</v>
      </c>
      <c r="F41" s="87" t="n">
        <v>32.1543592551822</v>
      </c>
      <c r="G41" s="87" t="n">
        <v>24.0618144222159</v>
      </c>
      <c r="H41" s="82" t="n">
        <v>3.74903067953888</v>
      </c>
      <c r="I41" s="82" t="n">
        <v>3.75064224606186</v>
      </c>
      <c r="J41" s="80" t="n">
        <v>0.908538513243575</v>
      </c>
      <c r="K41" s="89" t="n">
        <v>0</v>
      </c>
      <c r="L41" s="93" t="n">
        <v>0.428973271075524</v>
      </c>
      <c r="M41" s="83" t="s">
        <v>467</v>
      </c>
    </row>
    <row r="42" customFormat="false" ht="15" hidden="false" customHeight="true" outlineLevel="0" collapsed="false">
      <c r="B42" s="7" t="s">
        <v>485</v>
      </c>
      <c r="C42" s="80" t="n">
        <v>0.116475372147553</v>
      </c>
      <c r="D42" s="88" t="n">
        <v>2.04418819010027</v>
      </c>
      <c r="E42" s="80" t="n">
        <v>0.0881491477157444</v>
      </c>
      <c r="F42" s="87" t="n">
        <v>37.0032002135445</v>
      </c>
      <c r="G42" s="87" t="n">
        <v>30.0772680277699</v>
      </c>
      <c r="H42" s="82" t="n">
        <v>2.99984725928098</v>
      </c>
      <c r="I42" s="82" t="n">
        <v>4.75064224606186</v>
      </c>
      <c r="J42" s="80" t="n">
        <v>1.13058748472656</v>
      </c>
      <c r="K42" s="89" t="n">
        <v>289.927349303504</v>
      </c>
      <c r="L42" s="93" t="n">
        <v>0.522623222388742</v>
      </c>
      <c r="M42" s="83" t="s">
        <v>467</v>
      </c>
    </row>
    <row r="43" customFormat="false" ht="15" hidden="false" customHeight="true" outlineLevel="0" collapsed="false">
      <c r="B43" s="7" t="s">
        <v>486</v>
      </c>
      <c r="C43" s="80" t="n">
        <v>0.117166580658884</v>
      </c>
      <c r="D43" s="88" t="n">
        <v>2.02913649479096</v>
      </c>
      <c r="E43" s="80" t="n">
        <v>0.0886360839825369</v>
      </c>
      <c r="F43" s="87" t="n">
        <v>41.5298290517239</v>
      </c>
      <c r="G43" s="87" t="n">
        <v>36.0927216333239</v>
      </c>
      <c r="H43" s="82" t="n">
        <v>2.5002187889374</v>
      </c>
      <c r="I43" s="82" t="n">
        <v>5.75064224606186</v>
      </c>
      <c r="J43" s="80" t="n">
        <v>1.35263645620955</v>
      </c>
      <c r="K43" s="89" t="n">
        <v>1415.00496378664</v>
      </c>
      <c r="L43" s="93" t="n">
        <v>0.590424841015433</v>
      </c>
      <c r="M43" s="83" t="s">
        <v>467</v>
      </c>
    </row>
    <row r="44" customFormat="false" ht="15" hidden="false" customHeight="true" outlineLevel="0" collapsed="false">
      <c r="B44" s="7" t="s">
        <v>487</v>
      </c>
      <c r="C44" s="80" t="n">
        <v>0.114566740258779</v>
      </c>
      <c r="D44" s="88" t="n">
        <v>2.06171987074155</v>
      </c>
      <c r="E44" s="80" t="n">
        <v>0.0867140465390811</v>
      </c>
      <c r="F44" s="87" t="n">
        <v>35.75072432162</v>
      </c>
      <c r="G44" s="87" t="n">
        <v>27.0906618723741</v>
      </c>
      <c r="H44" s="82" t="n">
        <v>3.72482968345726</v>
      </c>
      <c r="I44" s="82" t="n">
        <v>3.77852146882692</v>
      </c>
      <c r="J44" s="80" t="n">
        <v>0.912258172079323</v>
      </c>
      <c r="K44" s="89" t="n">
        <v>0</v>
      </c>
      <c r="L44" s="93" t="n">
        <v>0.333864838294486</v>
      </c>
      <c r="M44" s="83" t="s">
        <v>467</v>
      </c>
    </row>
    <row r="45" customFormat="false" ht="15" hidden="false" customHeight="true" outlineLevel="0" collapsed="false">
      <c r="B45" s="7" t="s">
        <v>488</v>
      </c>
      <c r="C45" s="80" t="n">
        <v>0.115112975248292</v>
      </c>
      <c r="D45" s="88" t="n">
        <v>2.05155217677769</v>
      </c>
      <c r="E45" s="80" t="n">
        <v>0.0871264743125444</v>
      </c>
      <c r="F45" s="87" t="n">
        <v>41.5176615784133</v>
      </c>
      <c r="G45" s="87" t="n">
        <v>33.8633273404676</v>
      </c>
      <c r="H45" s="82" t="n">
        <v>2.98041332090767</v>
      </c>
      <c r="I45" s="82" t="n">
        <v>4.77852146882692</v>
      </c>
      <c r="J45" s="80" t="n">
        <v>1.13577577970954</v>
      </c>
      <c r="K45" s="89" t="n">
        <v>364.109194929818</v>
      </c>
      <c r="L45" s="93" t="n">
        <v>0.387651375742598</v>
      </c>
      <c r="M45" s="83" t="s">
        <v>467</v>
      </c>
    </row>
    <row r="46" customFormat="false" ht="15" hidden="false" customHeight="true" outlineLevel="0" collapsed="false">
      <c r="B46" s="7" t="s">
        <v>489</v>
      </c>
      <c r="C46" s="80" t="n">
        <v>0.115534632345069</v>
      </c>
      <c r="D46" s="88" t="n">
        <v>2.03974107104666</v>
      </c>
      <c r="E46" s="80" t="n">
        <v>0.0874257277072957</v>
      </c>
      <c r="F46" s="87" t="n">
        <v>47.1220422532607</v>
      </c>
      <c r="G46" s="87" t="n">
        <v>40.6359928085611</v>
      </c>
      <c r="H46" s="82" t="n">
        <v>2.4839831802519</v>
      </c>
      <c r="I46" s="82" t="n">
        <v>5.77852146882692</v>
      </c>
      <c r="J46" s="80" t="n">
        <v>1.35929338733977</v>
      </c>
      <c r="K46" s="89" t="n">
        <v>1380.00901514385</v>
      </c>
      <c r="L46" s="93" t="n">
        <v>0.42890264270313</v>
      </c>
      <c r="M46" s="83" t="s">
        <v>467</v>
      </c>
    </row>
    <row r="47" customFormat="false" ht="15" hidden="false" customHeight="true" outlineLevel="0" collapsed="false">
      <c r="B47" s="7" t="s">
        <v>490</v>
      </c>
      <c r="C47" s="80" t="n">
        <v>0.117712069775004</v>
      </c>
      <c r="D47" s="88" t="n">
        <v>2.07703241599751</v>
      </c>
      <c r="E47" s="80" t="n">
        <v>0.08936464139221</v>
      </c>
      <c r="F47" s="87" t="n">
        <v>31.7873611120065</v>
      </c>
      <c r="G47" s="87" t="n">
        <v>28.5991381191384</v>
      </c>
      <c r="H47" s="82" t="n">
        <v>3.019617137972</v>
      </c>
      <c r="I47" s="82" t="n">
        <v>4.75064224606186</v>
      </c>
      <c r="J47" s="80" t="n">
        <v>1.12903930805697</v>
      </c>
      <c r="K47" s="89" t="n">
        <v>262.182019711228</v>
      </c>
      <c r="L47" s="93" t="n">
        <v>0.644820698449315</v>
      </c>
      <c r="M47" s="83" t="s">
        <v>467</v>
      </c>
    </row>
    <row r="49" customFormat="false" ht="55.5" hidden="false" customHeight="true" outlineLevel="0" collapsed="false">
      <c r="B49" s="92" t="s">
        <v>491</v>
      </c>
      <c r="C49" s="92"/>
      <c r="D49" s="92"/>
      <c r="E49" s="92"/>
      <c r="F49" s="92"/>
      <c r="G49" s="92"/>
      <c r="H49" s="92"/>
      <c r="I49" s="92"/>
      <c r="J49" s="92"/>
      <c r="K49" s="92"/>
      <c r="L49" s="92"/>
      <c r="M49" s="92"/>
    </row>
    <row r="51" customFormat="false" ht="15" hidden="false" customHeight="true" outlineLevel="0" collapsed="false">
      <c r="B51" s="6" t="s">
        <v>492</v>
      </c>
      <c r="C51" s="6"/>
      <c r="D51" s="6"/>
      <c r="E51" s="6"/>
      <c r="F51" s="6"/>
      <c r="G51" s="6"/>
      <c r="H51" s="6"/>
      <c r="I51" s="6"/>
      <c r="J51" s="6"/>
      <c r="K51" s="6"/>
      <c r="L51" s="6"/>
      <c r="M51" s="6"/>
    </row>
    <row r="52" customFormat="false" ht="15" hidden="false" customHeight="true" outlineLevel="0" collapsed="false">
      <c r="B52" s="3" t="s">
        <v>493</v>
      </c>
      <c r="C52" s="70" t="n">
        <v>16</v>
      </c>
      <c r="D52" s="70" t="n">
        <v>18</v>
      </c>
      <c r="E52" s="70" t="n">
        <v>22</v>
      </c>
      <c r="F52" s="70" t="n">
        <v>25</v>
      </c>
      <c r="G52" s="94" t="n">
        <f aca="false">'1_Transaction_Summary'!C28</f>
        <v>32.5367420852693</v>
      </c>
      <c r="H52" s="5" t="s">
        <v>494</v>
      </c>
    </row>
    <row r="53" customFormat="false" ht="15" hidden="false" customHeight="true" outlineLevel="0" collapsed="false">
      <c r="B53" s="95" t="n">
        <v>2028</v>
      </c>
      <c r="C53" s="29" t="n">
        <f aca="false">IF('4_Debt_Schedule'!$C$73=1,"n/a",(((C$52*'4_Debt_Schedule'!G63-'4_Debt_Schedule'!G61+'3_Financial_Statements'!G44+'3_Financial_Statements'!G50-'4_Debt_Schedule'!G53)-'0_Dashboard_Toggles'!$C$20*MAX(0,(C$52*'4_Debt_Schedule'!G63-'4_Debt_Schedule'!G61+'3_Financial_Statements'!G44+'3_Financial_Statements'!G50-'4_Debt_Schedule'!G53)-'5_Returns_Sensitivities'!$C$14))/'5_Returns_Sensitivities'!$C$14)^(1/($B53-2026))-1)</f>
        <v>-0.185792726144178</v>
      </c>
      <c r="D53" s="29" t="n">
        <f aca="false">IF('4_Debt_Schedule'!$C$73=1,"n/a",(((D$52*'4_Debt_Schedule'!G63-'4_Debt_Schedule'!G61+'3_Financial_Statements'!G44+'3_Financial_Statements'!G50-'4_Debt_Schedule'!G53)-'0_Dashboard_Toggles'!$C$20*MAX(0,(D$52*'4_Debt_Schedule'!G63-'4_Debt_Schedule'!G61+'3_Financial_Statements'!G44+'3_Financial_Statements'!G50-'4_Debt_Schedule'!G53)-'5_Returns_Sensitivities'!$C$14))/'5_Returns_Sensitivities'!$C$14)^(1/($B53-2026))-1)</f>
        <v>-0.127268138974145</v>
      </c>
      <c r="E53" s="29" t="n">
        <f aca="false">IF('4_Debt_Schedule'!$C$73=1,"n/a",(((E$52*'4_Debt_Schedule'!G63-'4_Debt_Schedule'!G61+'3_Financial_Statements'!G44+'3_Financial_Statements'!G50-'4_Debt_Schedule'!G53)-'0_Dashboard_Toggles'!$C$20*MAX(0,(E$52*'4_Debt_Schedule'!G63-'4_Debt_Schedule'!G61+'3_Financial_Statements'!G44+'3_Financial_Statements'!G50-'4_Debt_Schedule'!G53)-'5_Returns_Sensitivities'!$C$14))/'5_Returns_Sensitivities'!$C$14)^(1/($B53-2026))-1)</f>
        <v>-0.0206554568746015</v>
      </c>
      <c r="F53" s="29" t="n">
        <f aca="false">IF('4_Debt_Schedule'!$C$73=1,"n/a",(((F$52*'4_Debt_Schedule'!G63-'4_Debt_Schedule'!G61+'3_Financial_Statements'!G44+'3_Financial_Statements'!G50-'4_Debt_Schedule'!G53)-'0_Dashboard_Toggles'!$C$20*MAX(0,(F$52*'4_Debt_Schedule'!G63-'4_Debt_Schedule'!G61+'3_Financial_Statements'!G44+'3_Financial_Statements'!G50-'4_Debt_Schedule'!G53)-'5_Returns_Sensitivities'!$C$14))/'5_Returns_Sensitivities'!$C$14)^(1/($B53-2026))-1)</f>
        <v>0.0481556707466826</v>
      </c>
      <c r="G53" s="29" t="n">
        <f aca="false">IF('4_Debt_Schedule'!$C$73=1,"n/a",(((G$52*'4_Debt_Schedule'!G63-'4_Debt_Schedule'!G61+'3_Financial_Statements'!G44+'3_Financial_Statements'!G50-'4_Debt_Schedule'!G53)-'0_Dashboard_Toggles'!$C$20*MAX(0,(G$52*'4_Debt_Schedule'!G63-'4_Debt_Schedule'!G61+'3_Financial_Statements'!G44+'3_Financial_Statements'!G50-'4_Debt_Schedule'!G53)-'5_Returns_Sensitivities'!$C$14))/'5_Returns_Sensitivities'!$C$14)^(1/($B53-2026))-1)</f>
        <v>0.20037849214376</v>
      </c>
    </row>
    <row r="54" customFormat="false" ht="15" hidden="false" customHeight="true" outlineLevel="0" collapsed="false">
      <c r="B54" s="95" t="n">
        <v>2029</v>
      </c>
      <c r="C54" s="29" t="n">
        <f aca="false">IF('4_Debt_Schedule'!$C$73=1,"n/a",(((C$52*'4_Debt_Schedule'!H63-'4_Debt_Schedule'!H61+'3_Financial_Statements'!H44+'3_Financial_Statements'!H50-'4_Debt_Schedule'!H53)-'0_Dashboard_Toggles'!$C$20*MAX(0,(C$52*'4_Debt_Schedule'!H63-'4_Debt_Schedule'!H61+'3_Financial_Statements'!H44+'3_Financial_Statements'!H50-'4_Debt_Schedule'!H53)-'5_Returns_Sensitivities'!$C$14))/'5_Returns_Sensitivities'!$C$14)^(1/($B54-2026))-1)</f>
        <v>-0.0541262565684757</v>
      </c>
      <c r="D54" s="29" t="n">
        <f aca="false">IF('4_Debt_Schedule'!$C$73=1,"n/a",(((D$52*'4_Debt_Schedule'!H63-'4_Debt_Schedule'!H61+'3_Financial_Statements'!H44+'3_Financial_Statements'!H50-'4_Debt_Schedule'!H53)-'0_Dashboard_Toggles'!$C$20*MAX(0,(D$52*'4_Debt_Schedule'!H63-'4_Debt_Schedule'!H61+'3_Financial_Statements'!H44+'3_Financial_Statements'!H50-'4_Debt_Schedule'!H53)-'5_Returns_Sensitivities'!$C$14))/'5_Returns_Sensitivities'!$C$14)^(1/($B54-2026))-1)</f>
        <v>-0.0125290851834123</v>
      </c>
      <c r="E54" s="29" t="n">
        <f aca="false">IF('4_Debt_Schedule'!$C$73=1,"n/a",(((E$52*'4_Debt_Schedule'!H63-'4_Debt_Schedule'!H61+'3_Financial_Statements'!H44+'3_Financial_Statements'!H50-'4_Debt_Schedule'!H53)-'0_Dashboard_Toggles'!$C$20*MAX(0,(E$52*'4_Debt_Schedule'!H63-'4_Debt_Schedule'!H61+'3_Financial_Statements'!H44+'3_Financial_Statements'!H50-'4_Debt_Schedule'!H53)-'5_Returns_Sensitivities'!$C$14))/'5_Returns_Sensitivities'!$C$14)^(1/($B54-2026))-1)</f>
        <v>0.0568562825341079</v>
      </c>
      <c r="F54" s="29" t="n">
        <f aca="false">IF('4_Debt_Schedule'!$C$73=1,"n/a",(((F$52*'4_Debt_Schedule'!H63-'4_Debt_Schedule'!H61+'3_Financial_Statements'!H44+'3_Financial_Statements'!H50-'4_Debt_Schedule'!H53)-'0_Dashboard_Toggles'!$C$20*MAX(0,(F$52*'4_Debt_Schedule'!H63-'4_Debt_Schedule'!H61+'3_Financial_Statements'!H44+'3_Financial_Statements'!H50-'4_Debt_Schedule'!H53)-'5_Returns_Sensitivities'!$C$14))/'5_Returns_Sensitivities'!$C$14)^(1/($B54-2026))-1)</f>
        <v>0.102857608115692</v>
      </c>
      <c r="G54" s="29" t="n">
        <f aca="false">IF('4_Debt_Schedule'!$C$73=1,"n/a",(((G$52*'4_Debt_Schedule'!H63-'4_Debt_Schedule'!H61+'3_Financial_Statements'!H44+'3_Financial_Statements'!H50-'4_Debt_Schedule'!H53)-'0_Dashboard_Toggles'!$C$20*MAX(0,(G$52*'4_Debt_Schedule'!H63-'4_Debt_Schedule'!H61+'3_Financial_Statements'!H44+'3_Financial_Statements'!H50-'4_Debt_Schedule'!H53)-'5_Returns_Sensitivities'!$C$14))/'5_Returns_Sensitivities'!$C$14)^(1/($B54-2026))-1)</f>
        <v>0.204093688237441</v>
      </c>
    </row>
    <row r="55" customFormat="false" ht="15" hidden="false" customHeight="true" outlineLevel="0" collapsed="false">
      <c r="B55" s="95" t="n">
        <v>2030</v>
      </c>
      <c r="C55" s="29" t="n">
        <f aca="false">IF('4_Debt_Schedule'!$C$73=1,"n/a",(((C$52*'4_Debt_Schedule'!I63-'4_Debt_Schedule'!I61+'3_Financial_Statements'!I44+'3_Financial_Statements'!I50-'4_Debt_Schedule'!I53)-'0_Dashboard_Toggles'!$C$20*MAX(0,(C$52*'4_Debt_Schedule'!I63-'4_Debt_Schedule'!I61+'3_Financial_Statements'!I44+'3_Financial_Statements'!I50-'4_Debt_Schedule'!I53)-'5_Returns_Sensitivities'!$C$14))/'5_Returns_Sensitivities'!$C$14)^(1/($B55-2026))-1)</f>
        <v>0.00428068765708711</v>
      </c>
      <c r="D55" s="29" t="n">
        <f aca="false">IF('4_Debt_Schedule'!$C$73=1,"n/a",(((D$52*'4_Debt_Schedule'!I63-'4_Debt_Schedule'!I61+'3_Financial_Statements'!I44+'3_Financial_Statements'!I50-'4_Debt_Schedule'!I53)-'0_Dashboard_Toggles'!$C$20*MAX(0,(D$52*'4_Debt_Schedule'!I63-'4_Debt_Schedule'!I61+'3_Financial_Statements'!I44+'3_Financial_Statements'!I50-'4_Debt_Schedule'!I53)-'5_Returns_Sensitivities'!$C$14))/'5_Returns_Sensitivities'!$C$14)^(1/($B55-2026))-1)</f>
        <v>0.0330417141387072</v>
      </c>
      <c r="E55" s="29" t="n">
        <f aca="false">IF('4_Debt_Schedule'!$C$73=1,"n/a",(((E$52*'4_Debt_Schedule'!I63-'4_Debt_Schedule'!I61+'3_Financial_Statements'!I44+'3_Financial_Statements'!I50-'4_Debt_Schedule'!I53)-'0_Dashboard_Toggles'!$C$20*MAX(0,(E$52*'4_Debt_Schedule'!I63-'4_Debt_Schedule'!I61+'3_Financial_Statements'!I44+'3_Financial_Statements'!I50-'4_Debt_Schedule'!I53)-'5_Returns_Sensitivities'!$C$14))/'5_Returns_Sensitivities'!$C$14)^(1/($B55-2026))-1)</f>
        <v>0.084268002476229</v>
      </c>
      <c r="F55" s="29" t="n">
        <f aca="false">IF('4_Debt_Schedule'!$C$73=1,"n/a",(((F$52*'4_Debt_Schedule'!I63-'4_Debt_Schedule'!I61+'3_Financial_Statements'!I44+'3_Financial_Statements'!I50-'4_Debt_Schedule'!I53)-'0_Dashboard_Toggles'!$C$20*MAX(0,(F$52*'4_Debt_Schedule'!I63-'4_Debt_Schedule'!I61+'3_Financial_Statements'!I44+'3_Financial_Statements'!I50-'4_Debt_Schedule'!I53)-'5_Returns_Sensitivities'!$C$14))/'5_Returns_Sensitivities'!$C$14)^(1/($B55-2026))-1)</f>
        <v>0.118403630525277</v>
      </c>
      <c r="G55" s="29" t="n">
        <f aca="false">IF('4_Debt_Schedule'!$C$73=1,"n/a",(((G$52*'4_Debt_Schedule'!I63-'4_Debt_Schedule'!I61+'3_Financial_Statements'!I44+'3_Financial_Statements'!I50-'4_Debt_Schedule'!I53)-'0_Dashboard_Toggles'!$C$20*MAX(0,(G$52*'4_Debt_Schedule'!I63-'4_Debt_Schedule'!I61+'3_Financial_Statements'!I44+'3_Financial_Statements'!I50-'4_Debt_Schedule'!I53)-'5_Returns_Sensitivities'!$C$14))/'5_Returns_Sensitivities'!$C$14)^(1/($B55-2026))-1)</f>
        <v>0.192598739472503</v>
      </c>
    </row>
    <row r="56" customFormat="false" ht="15" hidden="false" customHeight="true" outlineLevel="0" collapsed="false">
      <c r="B56" s="95" t="n">
        <v>2031</v>
      </c>
      <c r="C56" s="29" t="n">
        <f aca="false">IF('4_Debt_Schedule'!$C$73=1,"n/a",(((C$52*'4_Debt_Schedule'!J63-'4_Debt_Schedule'!J61+'3_Financial_Statements'!J44+'3_Financial_Statements'!J50-'4_Debt_Schedule'!J53)-'0_Dashboard_Toggles'!$C$20*MAX(0,(C$52*'4_Debt_Schedule'!J63-'4_Debt_Schedule'!J61+'3_Financial_Statements'!J44+'3_Financial_Statements'!J50-'4_Debt_Schedule'!J53)-'5_Returns_Sensitivities'!$C$14))/'5_Returns_Sensitivities'!$C$14)^(1/($B56-2026))-1)</f>
        <v>0.0356098954360291</v>
      </c>
      <c r="D56" s="29" t="n">
        <f aca="false">IF('4_Debt_Schedule'!$C$73=1,"n/a",(((D$52*'4_Debt_Schedule'!J63-'4_Debt_Schedule'!J61+'3_Financial_Statements'!J44+'3_Financial_Statements'!J50-'4_Debt_Schedule'!J53)-'0_Dashboard_Toggles'!$C$20*MAX(0,(D$52*'4_Debt_Schedule'!J63-'4_Debt_Schedule'!J61+'3_Financial_Statements'!J44+'3_Financial_Statements'!J50-'4_Debt_Schedule'!J53)-'5_Returns_Sensitivities'!$C$14))/'5_Returns_Sensitivities'!$C$14)^(1/($B56-2026))-1)</f>
        <v>0.0583958446050425</v>
      </c>
      <c r="E56" s="29" t="n">
        <f aca="false">IF('4_Debt_Schedule'!$C$73=1,"n/a",(((E$52*'4_Debt_Schedule'!J63-'4_Debt_Schedule'!J61+'3_Financial_Statements'!J44+'3_Financial_Statements'!J50-'4_Debt_Schedule'!J53)-'0_Dashboard_Toggles'!$C$20*MAX(0,(E$52*'4_Debt_Schedule'!J63-'4_Debt_Schedule'!J61+'3_Financial_Statements'!J44+'3_Financial_Statements'!J50-'4_Debt_Schedule'!J53)-'5_Returns_Sensitivities'!$C$14))/'5_Returns_Sensitivities'!$C$14)^(1/($B56-2026))-1)</f>
        <v>0.0988365341493704</v>
      </c>
      <c r="F56" s="29" t="n">
        <f aca="false">IF('4_Debt_Schedule'!$C$73=1,"n/a",(((F$52*'4_Debt_Schedule'!J63-'4_Debt_Schedule'!J61+'3_Financial_Statements'!J44+'3_Financial_Statements'!J50-'4_Debt_Schedule'!J53)-'0_Dashboard_Toggles'!$C$20*MAX(0,(F$52*'4_Debt_Schedule'!J63-'4_Debt_Schedule'!J61+'3_Financial_Statements'!J44+'3_Financial_Statements'!J50-'4_Debt_Schedule'!J53)-'5_Returns_Sensitivities'!$C$14))/'5_Returns_Sensitivities'!$C$14)^(1/($B56-2026))-1)</f>
        <v>0.125672050587732</v>
      </c>
      <c r="G56" s="29" t="n">
        <f aca="false">IF('4_Debt_Schedule'!$C$73=1,"n/a",(((G$52*'4_Debt_Schedule'!J63-'4_Debt_Schedule'!J61+'3_Financial_Statements'!J44+'3_Financial_Statements'!J50-'4_Debt_Schedule'!J53)-'0_Dashboard_Toggles'!$C$20*MAX(0,(G$52*'4_Debt_Schedule'!J63-'4_Debt_Schedule'!J61+'3_Financial_Statements'!J44+'3_Financial_Statements'!J50-'4_Debt_Schedule'!J53)-'5_Returns_Sensitivities'!$C$14))/'5_Returns_Sensitivities'!$C$14)^(1/($B56-2026))-1)</f>
        <v>0.183660538628754</v>
      </c>
    </row>
    <row r="57" customFormat="false" ht="15" hidden="false" customHeight="true" outlineLevel="0" collapsed="false">
      <c r="B57" s="95" t="n">
        <v>2032</v>
      </c>
      <c r="C57" s="29" t="n">
        <f aca="false">IF('4_Debt_Schedule'!$C$73=1,"n/a",(((C$52*'4_Debt_Schedule'!K63-'4_Debt_Schedule'!K61+'3_Financial_Statements'!K44+'3_Financial_Statements'!K50-'4_Debt_Schedule'!K53)-'0_Dashboard_Toggles'!$C$20*MAX(0,(C$52*'4_Debt_Schedule'!K63-'4_Debt_Schedule'!K61+'3_Financial_Statements'!K44+'3_Financial_Statements'!K50-'4_Debt_Schedule'!K53)-'5_Returns_Sensitivities'!$C$14))/'5_Returns_Sensitivities'!$C$14)^(1/($B57-2026))-1)</f>
        <v>0.0550585373163484</v>
      </c>
      <c r="D57" s="29" t="n">
        <f aca="false">IF('4_Debt_Schedule'!$C$73=1,"n/a",(((D$52*'4_Debt_Schedule'!K63-'4_Debt_Schedule'!K61+'3_Financial_Statements'!K44+'3_Financial_Statements'!K50-'4_Debt_Schedule'!K53)-'0_Dashboard_Toggles'!$C$20*MAX(0,(D$52*'4_Debt_Schedule'!K63-'4_Debt_Schedule'!K61+'3_Financial_Statements'!K44+'3_Financial_Statements'!K50-'4_Debt_Schedule'!K53)-'5_Returns_Sensitivities'!$C$14))/'5_Returns_Sensitivities'!$C$14)^(1/($B57-2026))-1)</f>
        <v>0.0737384878260605</v>
      </c>
      <c r="E57" s="29" t="n">
        <f aca="false">IF('4_Debt_Schedule'!$C$73=1,"n/a",(((E$52*'4_Debt_Schedule'!K63-'4_Debt_Schedule'!K61+'3_Financial_Statements'!K44+'3_Financial_Statements'!K50-'4_Debt_Schedule'!K53)-'0_Dashboard_Toggles'!$C$20*MAX(0,(E$52*'4_Debt_Schedule'!K63-'4_Debt_Schedule'!K61+'3_Financial_Statements'!K44+'3_Financial_Statements'!K50-'4_Debt_Schedule'!K53)-'5_Returns_Sensitivities'!$C$14))/'5_Returns_Sensitivities'!$C$14)^(1/($B57-2026))-1)</f>
        <v>0.106850507402658</v>
      </c>
      <c r="F57" s="29" t="n">
        <f aca="false">IF('4_Debt_Schedule'!$C$73=1,"n/a",(((F$52*'4_Debt_Schedule'!K63-'4_Debt_Schedule'!K61+'3_Financial_Statements'!K44+'3_Financial_Statements'!K50-'4_Debt_Schedule'!K53)-'0_Dashboard_Toggles'!$C$20*MAX(0,(F$52*'4_Debt_Schedule'!K63-'4_Debt_Schedule'!K61+'3_Financial_Statements'!K44+'3_Financial_Statements'!K50-'4_Debt_Schedule'!K53)-'5_Returns_Sensitivities'!$C$14))/'5_Returns_Sensitivities'!$C$14)^(1/($B57-2026))-1)</f>
        <v>0.128783931306446</v>
      </c>
      <c r="G57" s="29" t="n">
        <f aca="false">IF('4_Debt_Schedule'!$C$73=1,"n/a",(((G$52*'4_Debt_Schedule'!K63-'4_Debt_Schedule'!K61+'3_Financial_Statements'!K44+'3_Financial_Statements'!K50-'4_Debt_Schedule'!K53)-'0_Dashboard_Toggles'!$C$20*MAX(0,(G$52*'4_Debt_Schedule'!K63-'4_Debt_Schedule'!K61+'3_Financial_Statements'!K44+'3_Financial_Statements'!K50-'4_Debt_Schedule'!K53)-'5_Returns_Sensitivities'!$C$14))/'5_Returns_Sensitivities'!$C$14)^(1/($B57-2026))-1)</f>
        <v>0.176045664602335</v>
      </c>
    </row>
    <row r="58" customFormat="false" ht="15" hidden="false" customHeight="true" outlineLevel="0" collapsed="false">
      <c r="B58" s="95" t="n">
        <v>2033</v>
      </c>
      <c r="C58" s="29" t="n">
        <f aca="false">IF('4_Debt_Schedule'!$C$73=1,"n/a",(((C$52*'4_Debt_Schedule'!L63-'4_Debt_Schedule'!L61+'3_Financial_Statements'!L44+'3_Financial_Statements'!L50-'4_Debt_Schedule'!L53)-'0_Dashboard_Toggles'!$C$20*MAX(0,(C$52*'4_Debt_Schedule'!L63-'4_Debt_Schedule'!L61+'3_Financial_Statements'!L44+'3_Financial_Statements'!L50-'4_Debt_Schedule'!L53)-'5_Returns_Sensitivities'!$C$14))/'5_Returns_Sensitivities'!$C$14)^(1/($B58-2026))-1)</f>
        <v>0.0676487599324716</v>
      </c>
      <c r="D58" s="29" t="n">
        <f aca="false">IF('4_Debt_Schedule'!$C$73=1,"n/a",(((D$52*'4_Debt_Schedule'!L63-'4_Debt_Schedule'!L61+'3_Financial_Statements'!L44+'3_Financial_Statements'!L50-'4_Debt_Schedule'!L53)-'0_Dashboard_Toggles'!$C$20*MAX(0,(D$52*'4_Debt_Schedule'!L63-'4_Debt_Schedule'!L61+'3_Financial_Statements'!L44+'3_Financial_Statements'!L50-'4_Debt_Schedule'!L53)-'5_Returns_Sensitivities'!$C$14))/'5_Returns_Sensitivities'!$C$14)^(1/($B58-2026))-1)</f>
        <v>0.0833567128286696</v>
      </c>
      <c r="E58" s="29" t="n">
        <f aca="false">IF('4_Debt_Schedule'!$C$73=1,"n/a",(((E$52*'4_Debt_Schedule'!L63-'4_Debt_Schedule'!L61+'3_Financial_Statements'!L44+'3_Financial_Statements'!L50-'4_Debt_Schedule'!L53)-'0_Dashboard_Toggles'!$C$20*MAX(0,(E$52*'4_Debt_Schedule'!L63-'4_Debt_Schedule'!L61+'3_Financial_Statements'!L44+'3_Financial_Statements'!L50-'4_Debt_Schedule'!L53)-'5_Returns_Sensitivities'!$C$14))/'5_Returns_Sensitivities'!$C$14)^(1/($B58-2026))-1)</f>
        <v>0.111197838959669</v>
      </c>
      <c r="F58" s="29" t="n">
        <f aca="false">IF('4_Debt_Schedule'!$C$73=1,"n/a",(((F$52*'4_Debt_Schedule'!L63-'4_Debt_Schedule'!L61+'3_Financial_Statements'!L44+'3_Financial_Statements'!L50-'4_Debt_Schedule'!L53)-'0_Dashboard_Toggles'!$C$20*MAX(0,(F$52*'4_Debt_Schedule'!L63-'4_Debt_Schedule'!L61+'3_Financial_Statements'!L44+'3_Financial_Statements'!L50-'4_Debt_Schedule'!L53)-'5_Returns_Sensitivities'!$C$14))/'5_Returns_Sensitivities'!$C$14)^(1/($B58-2026))-1)</f>
        <v>0.129630065563497</v>
      </c>
      <c r="G58" s="29" t="n">
        <f aca="false">IF('4_Debt_Schedule'!$C$73=1,"n/a",(((G$52*'4_Debt_Schedule'!L63-'4_Debt_Schedule'!L61+'3_Financial_Statements'!L44+'3_Financial_Statements'!L50-'4_Debt_Schedule'!L53)-'0_Dashboard_Toggles'!$C$20*MAX(0,(G$52*'4_Debt_Schedule'!L63-'4_Debt_Schedule'!L61+'3_Financial_Statements'!L44+'3_Financial_Statements'!L50-'4_Debt_Schedule'!L53)-'5_Returns_Sensitivities'!$C$14))/'5_Returns_Sensitivities'!$C$14)^(1/($B58-2026))-1)</f>
        <v>0.169298007698809</v>
      </c>
    </row>
    <row r="59" customFormat="false" ht="15" hidden="false" customHeight="true" outlineLevel="0" collapsed="false">
      <c r="B59" s="3" t="s">
        <v>495</v>
      </c>
    </row>
    <row r="60" customFormat="false" ht="15" hidden="false" customHeight="true" outlineLevel="0" collapsed="false">
      <c r="B60" s="95" t="n">
        <v>2028</v>
      </c>
      <c r="C60" s="30" t="n">
        <f aca="false">IF('4_Debt_Schedule'!$C$73=1,"n/a",((C$52*'4_Debt_Schedule'!G63-'4_Debt_Schedule'!G61+'3_Financial_Statements'!G44+'3_Financial_Statements'!G50-'4_Debt_Schedule'!G53)-'0_Dashboard_Toggles'!$C$20*MAX(0,(C$52*'4_Debt_Schedule'!G63-'4_Debt_Schedule'!G61+'3_Financial_Statements'!G44+'3_Financial_Statements'!G50-'4_Debt_Schedule'!G53)-'5_Returns_Sensitivities'!$C$14))/'5_Returns_Sensitivities'!$C$14)</f>
        <v>0.66293348479973</v>
      </c>
      <c r="D60" s="30" t="n">
        <f aca="false">IF('4_Debt_Schedule'!$C$73=1,"n/a",((D$52*'4_Debt_Schedule'!G63-'4_Debt_Schedule'!G61+'3_Financial_Statements'!G44+'3_Financial_Statements'!G50-'4_Debt_Schedule'!G53)-'0_Dashboard_Toggles'!$C$20*MAX(0,(D$52*'4_Debt_Schedule'!G63-'4_Debt_Schedule'!G61+'3_Financial_Statements'!G44+'3_Financial_Statements'!G50-'4_Debt_Schedule'!G53)-'5_Returns_Sensitivities'!$C$14))/'5_Returns_Sensitivities'!$C$14)</f>
        <v>0.761660901249652</v>
      </c>
      <c r="E60" s="30" t="n">
        <f aca="false">IF('4_Debt_Schedule'!$C$73=1,"n/a",((E$52*'4_Debt_Schedule'!G63-'4_Debt_Schedule'!G61+'3_Financial_Statements'!G44+'3_Financial_Statements'!G50-'4_Debt_Schedule'!G53)-'0_Dashboard_Toggles'!$C$20*MAX(0,(E$52*'4_Debt_Schedule'!G63-'4_Debt_Schedule'!G61+'3_Financial_Statements'!G44+'3_Financial_Statements'!G50-'4_Debt_Schedule'!G53)-'5_Returns_Sensitivities'!$C$14))/'5_Returns_Sensitivities'!$C$14)</f>
        <v>0.959115734149496</v>
      </c>
      <c r="F60" s="30" t="n">
        <f aca="false">IF('4_Debt_Schedule'!$C$73=1,"n/a",((F$52*'4_Debt_Schedule'!G63-'4_Debt_Schedule'!G61+'3_Financial_Statements'!G44+'3_Financial_Statements'!G50-'4_Debt_Schedule'!G53)-'0_Dashboard_Toggles'!$C$20*MAX(0,(F$52*'4_Debt_Schedule'!G63-'4_Debt_Schedule'!G61+'3_Financial_Statements'!G44+'3_Financial_Statements'!G50-'4_Debt_Schedule'!G53)-'5_Returns_Sensitivities'!$C$14))/'5_Returns_Sensitivities'!$C$14)</f>
        <v>1.09863031011843</v>
      </c>
      <c r="G60" s="30" t="n">
        <f aca="false">IF('4_Debt_Schedule'!$C$73=1,"n/a",((G$52*'4_Debt_Schedule'!G63-'4_Debt_Schedule'!G61+'3_Financial_Statements'!G44+'3_Financial_Statements'!G50-'4_Debt_Schedule'!G53)-'0_Dashboard_Toggles'!$C$20*MAX(0,(G$52*'4_Debt_Schedule'!G63-'4_Debt_Schedule'!G61+'3_Financial_Statements'!G44+'3_Financial_Statements'!G50-'4_Debt_Schedule'!G53)-'5_Returns_Sensitivities'!$C$14))/'5_Returns_Sensitivities'!$C$14)</f>
        <v>1.44090852440133</v>
      </c>
    </row>
    <row r="61" customFormat="false" ht="15" hidden="false" customHeight="true" outlineLevel="0" collapsed="false">
      <c r="B61" s="95" t="n">
        <v>2029</v>
      </c>
      <c r="C61" s="30" t="n">
        <f aca="false">IF('4_Debt_Schedule'!$C$73=1,"n/a",((C$52*'4_Debt_Schedule'!H63-'4_Debt_Schedule'!H61+'3_Financial_Statements'!H44+'3_Financial_Statements'!H50-'4_Debt_Schedule'!H53)-'0_Dashboard_Toggles'!$C$20*MAX(0,(C$52*'4_Debt_Schedule'!H63-'4_Debt_Schedule'!H61+'3_Financial_Statements'!H44+'3_Financial_Statements'!H50-'4_Debt_Schedule'!H53)-'5_Returns_Sensitivities'!$C$14))/'5_Returns_Sensitivities'!$C$14)</f>
        <v>0.846251614168052</v>
      </c>
      <c r="D61" s="30" t="n">
        <f aca="false">IF('4_Debt_Schedule'!$C$73=1,"n/a",((D$52*'4_Debt_Schedule'!H63-'4_Debt_Schedule'!H61+'3_Financial_Statements'!H44+'3_Financial_Statements'!H50-'4_Debt_Schedule'!H53)-'0_Dashboard_Toggles'!$C$20*MAX(0,(D$52*'4_Debt_Schedule'!H63-'4_Debt_Schedule'!H61+'3_Financial_Statements'!H44+'3_Financial_Statements'!H50-'4_Debt_Schedule'!H53)-'5_Returns_Sensitivities'!$C$14))/'5_Returns_Sensitivities'!$C$14)</f>
        <v>0.962881711585935</v>
      </c>
      <c r="E61" s="30" t="n">
        <f aca="false">IF('4_Debt_Schedule'!$C$73=1,"n/a",((E$52*'4_Debt_Schedule'!H63-'4_Debt_Schedule'!H61+'3_Financial_Statements'!H44+'3_Financial_Statements'!H50-'4_Debt_Schedule'!H53)-'0_Dashboard_Toggles'!$C$20*MAX(0,(E$52*'4_Debt_Schedule'!H63-'4_Debt_Schedule'!H61+'3_Financial_Statements'!H44+'3_Financial_Statements'!H50-'4_Debt_Schedule'!H53)-'5_Returns_Sensitivities'!$C$14))/'5_Returns_Sensitivities'!$C$14)</f>
        <v>1.18045055390797</v>
      </c>
      <c r="F61" s="30" t="n">
        <f aca="false">IF('4_Debt_Schedule'!$C$73=1,"n/a",((F$52*'4_Debt_Schedule'!H63-'4_Debt_Schedule'!H61+'3_Financial_Statements'!H44+'3_Financial_Statements'!H50-'4_Debt_Schedule'!H53)-'0_Dashboard_Toggles'!$C$20*MAX(0,(F$52*'4_Debt_Schedule'!H63-'4_Debt_Schedule'!H61+'3_Financial_Statements'!H44+'3_Financial_Statements'!H50-'4_Debt_Schedule'!H53)-'5_Returns_Sensitivities'!$C$14))/'5_Returns_Sensitivities'!$C$14)</f>
        <v>1.34140008834464</v>
      </c>
      <c r="G61" s="30" t="n">
        <f aca="false">IF('4_Debt_Schedule'!$C$73=1,"n/a",((G$52*'4_Debt_Schedule'!H63-'4_Debt_Schedule'!H61+'3_Financial_Statements'!H44+'3_Financial_Statements'!H50-'4_Debt_Schedule'!H53)-'0_Dashboard_Toggles'!$C$20*MAX(0,(G$52*'4_Debt_Schedule'!H63-'4_Debt_Schedule'!H61+'3_Financial_Statements'!H44+'3_Financial_Statements'!H50-'4_Debt_Schedule'!H53)-'5_Returns_Sensitivities'!$C$14))/'5_Returns_Sensitivities'!$C$14)</f>
        <v>1.74574513160912</v>
      </c>
    </row>
    <row r="62" customFormat="false" ht="15" hidden="false" customHeight="true" outlineLevel="0" collapsed="false">
      <c r="B62" s="95" t="n">
        <v>2030</v>
      </c>
      <c r="C62" s="30" t="n">
        <f aca="false">IF('4_Debt_Schedule'!$C$73=1,"n/a",((C$52*'4_Debt_Schedule'!I63-'4_Debt_Schedule'!I61+'3_Financial_Statements'!I44+'3_Financial_Statements'!I50-'4_Debt_Schedule'!I53)-'0_Dashboard_Toggles'!$C$20*MAX(0,(C$52*'4_Debt_Schedule'!I63-'4_Debt_Schedule'!I61+'3_Financial_Statements'!I44+'3_Financial_Statements'!I50-'4_Debt_Schedule'!I53)-'5_Returns_Sensitivities'!$C$14))/'5_Returns_Sensitivities'!$C$14)</f>
        <v>1.01723301044723</v>
      </c>
      <c r="D62" s="30" t="n">
        <f aca="false">IF('4_Debt_Schedule'!$C$73=1,"n/a",((D$52*'4_Debt_Schedule'!I63-'4_Debt_Schedule'!I61+'3_Financial_Statements'!I44+'3_Financial_Statements'!I50-'4_Debt_Schedule'!I53)-'0_Dashboard_Toggles'!$C$20*MAX(0,(D$52*'4_Debt_Schedule'!I63-'4_Debt_Schedule'!I61+'3_Financial_Statements'!I44+'3_Financial_Statements'!I50-'4_Debt_Schedule'!I53)-'5_Returns_Sensitivities'!$C$14))/'5_Returns_Sensitivities'!$C$14)</f>
        <v>1.1388628715326</v>
      </c>
      <c r="E62" s="30" t="n">
        <f aca="false">IF('4_Debt_Schedule'!$C$73=1,"n/a",((E$52*'4_Debt_Schedule'!I63-'4_Debt_Schedule'!I61+'3_Financial_Statements'!I44+'3_Financial_Statements'!I50-'4_Debt_Schedule'!I53)-'0_Dashboard_Toggles'!$C$20*MAX(0,(E$52*'4_Debt_Schedule'!I63-'4_Debt_Schedule'!I61+'3_Financial_Statements'!I44+'3_Financial_Statements'!I50-'4_Debt_Schedule'!I53)-'5_Returns_Sensitivities'!$C$14))/'5_Returns_Sensitivities'!$C$14)</f>
        <v>1.38212259370334</v>
      </c>
      <c r="F62" s="30" t="n">
        <f aca="false">IF('4_Debt_Schedule'!$C$73=1,"n/a",((F$52*'4_Debt_Schedule'!I63-'4_Debt_Schedule'!I61+'3_Financial_Statements'!I44+'3_Financial_Statements'!I50-'4_Debt_Schedule'!I53)-'0_Dashboard_Toggles'!$C$20*MAX(0,(F$52*'4_Debt_Schedule'!I63-'4_Debt_Schedule'!I61+'3_Financial_Statements'!I44+'3_Financial_Statements'!I50-'4_Debt_Schedule'!I53)-'5_Returns_Sensitivities'!$C$14))/'5_Returns_Sensitivities'!$C$14)</f>
        <v>1.5645673853314</v>
      </c>
      <c r="G62" s="30" t="n">
        <f aca="false">IF('4_Debt_Schedule'!$C$73=1,"n/a",((G$52*'4_Debt_Schedule'!I63-'4_Debt_Schedule'!I61+'3_Financial_Statements'!I44+'3_Financial_Statements'!I50-'4_Debt_Schedule'!I53)-'0_Dashboard_Toggles'!$C$20*MAX(0,(G$52*'4_Debt_Schedule'!I63-'4_Debt_Schedule'!I61+'3_Financial_Statements'!I44+'3_Financial_Statements'!I50-'4_Debt_Schedule'!I53)-'5_Returns_Sensitivities'!$C$14))/'5_Returns_Sensitivities'!$C$14)</f>
        <v>2.02291383176519</v>
      </c>
    </row>
    <row r="63" customFormat="false" ht="15" hidden="false" customHeight="true" outlineLevel="0" collapsed="false">
      <c r="B63" s="95" t="n">
        <v>2031</v>
      </c>
      <c r="C63" s="30" t="n">
        <f aca="false">IF('4_Debt_Schedule'!$C$73=1,"n/a",((C$52*'4_Debt_Schedule'!J63-'4_Debt_Schedule'!J61+'3_Financial_Statements'!J44+'3_Financial_Statements'!J50-'4_Debt_Schedule'!J53)-'0_Dashboard_Toggles'!$C$20*MAX(0,(C$52*'4_Debt_Schedule'!J63-'4_Debt_Schedule'!J61+'3_Financial_Statements'!J44+'3_Financial_Statements'!J50-'4_Debt_Schedule'!J53)-'5_Returns_Sensitivities'!$C$14))/'5_Returns_Sensitivities'!$C$14)</f>
        <v>1.19118977740688</v>
      </c>
      <c r="D63" s="30" t="n">
        <f aca="false">IF('4_Debt_Schedule'!$C$73=1,"n/a",((D$52*'4_Debt_Schedule'!J63-'4_Debt_Schedule'!J61+'3_Financial_Statements'!J44+'3_Financial_Statements'!J50-'4_Debt_Schedule'!J53)-'0_Dashboard_Toggles'!$C$20*MAX(0,(D$52*'4_Debt_Schedule'!J63-'4_Debt_Schedule'!J61+'3_Financial_Statements'!J44+'3_Financial_Statements'!J50-'4_Debt_Schedule'!J53)-'5_Returns_Sensitivities'!$C$14))/'5_Returns_Sensitivities'!$C$14)</f>
        <v>1.32813013370875</v>
      </c>
      <c r="E63" s="30" t="n">
        <f aca="false">IF('4_Debt_Schedule'!$C$73=1,"n/a",((E$52*'4_Debt_Schedule'!J63-'4_Debt_Schedule'!J61+'3_Financial_Statements'!J44+'3_Financial_Statements'!J50-'4_Debt_Schedule'!J53)-'0_Dashboard_Toggles'!$C$20*MAX(0,(E$52*'4_Debt_Schedule'!J63-'4_Debt_Schedule'!J61+'3_Financial_Statements'!J44+'3_Financial_Statements'!J50-'4_Debt_Schedule'!J53)-'5_Returns_Sensitivities'!$C$14))/'5_Returns_Sensitivities'!$C$14)</f>
        <v>1.60201084631248</v>
      </c>
      <c r="F63" s="30" t="n">
        <f aca="false">IF('4_Debt_Schedule'!$C$73=1,"n/a",((F$52*'4_Debt_Schedule'!J63-'4_Debt_Schedule'!J61+'3_Financial_Statements'!J44+'3_Financial_Statements'!J50-'4_Debt_Schedule'!J53)-'0_Dashboard_Toggles'!$C$20*MAX(0,(F$52*'4_Debt_Schedule'!J63-'4_Debt_Schedule'!J61+'3_Financial_Statements'!J44+'3_Financial_Statements'!J50-'4_Debt_Schedule'!J53)-'5_Returns_Sensitivities'!$C$14))/'5_Returns_Sensitivities'!$C$14)</f>
        <v>1.80742138076528</v>
      </c>
      <c r="G63" s="30" t="n">
        <f aca="false">IF('4_Debt_Schedule'!$C$73=1,"n/a",((G$52*'4_Debt_Schedule'!J63-'4_Debt_Schedule'!J61+'3_Financial_Statements'!J44+'3_Financial_Statements'!J50-'4_Debt_Schedule'!J53)-'0_Dashboard_Toggles'!$C$20*MAX(0,(G$52*'4_Debt_Schedule'!J63-'4_Debt_Schedule'!J61+'3_Financial_Statements'!J44+'3_Financial_Statements'!J50-'4_Debt_Schedule'!J53)-'5_Returns_Sensitivities'!$C$14))/'5_Returns_Sensitivities'!$C$14)</f>
        <v>2.32346345402131</v>
      </c>
    </row>
    <row r="64" customFormat="false" ht="15" hidden="false" customHeight="true" outlineLevel="0" collapsed="false">
      <c r="B64" s="95" t="n">
        <v>2032</v>
      </c>
      <c r="C64" s="30" t="n">
        <f aca="false">IF('4_Debt_Schedule'!$C$73=1,"n/a",((C$52*'4_Debt_Schedule'!K63-'4_Debt_Schedule'!K61+'3_Financial_Statements'!K44+'3_Financial_Statements'!K50-'4_Debt_Schedule'!K53)-'0_Dashboard_Toggles'!$C$20*MAX(0,(C$52*'4_Debt_Schedule'!K63-'4_Debt_Schedule'!K61+'3_Financial_Statements'!K44+'3_Financial_Statements'!K50-'4_Debt_Schedule'!K53)-'5_Returns_Sensitivities'!$C$14))/'5_Returns_Sensitivities'!$C$14)</f>
        <v>1.37930190602937</v>
      </c>
      <c r="D64" s="30" t="n">
        <f aca="false">IF('4_Debt_Schedule'!$C$73=1,"n/a",((D$52*'4_Debt_Schedule'!K63-'4_Debt_Schedule'!K61+'3_Financial_Statements'!K44+'3_Financial_Statements'!K50-'4_Debt_Schedule'!K53)-'0_Dashboard_Toggles'!$C$20*MAX(0,(D$52*'4_Debt_Schedule'!K63-'4_Debt_Schedule'!K61+'3_Financial_Statements'!K44+'3_Financial_Statements'!K50-'4_Debt_Schedule'!K53)-'5_Returns_Sensitivities'!$C$14))/'5_Returns_Sensitivities'!$C$14)</f>
        <v>1.53246697180846</v>
      </c>
      <c r="E64" s="30" t="n">
        <f aca="false">IF('4_Debt_Schedule'!$C$73=1,"n/a",((E$52*'4_Debt_Schedule'!K63-'4_Debt_Schedule'!K61+'3_Financial_Statements'!K44+'3_Financial_Statements'!K50-'4_Debt_Schedule'!K53)-'0_Dashboard_Toggles'!$C$20*MAX(0,(E$52*'4_Debt_Schedule'!K63-'4_Debt_Schedule'!K61+'3_Financial_Statements'!K44+'3_Financial_Statements'!K50-'4_Debt_Schedule'!K53)-'5_Returns_Sensitivities'!$C$14))/'5_Returns_Sensitivities'!$C$14)</f>
        <v>1.83879710336663</v>
      </c>
      <c r="F64" s="30" t="n">
        <f aca="false">IF('4_Debt_Schedule'!$C$73=1,"n/a",((F$52*'4_Debt_Schedule'!K63-'4_Debt_Schedule'!K61+'3_Financial_Statements'!K44+'3_Financial_Statements'!K50-'4_Debt_Schedule'!K53)-'0_Dashboard_Toggles'!$C$20*MAX(0,(F$52*'4_Debt_Schedule'!K63-'4_Debt_Schedule'!K61+'3_Financial_Statements'!K44+'3_Financial_Statements'!K50-'4_Debt_Schedule'!K53)-'5_Returns_Sensitivities'!$C$14))/'5_Returns_Sensitivities'!$C$14)</f>
        <v>2.06854470203526</v>
      </c>
      <c r="G64" s="30" t="n">
        <f aca="false">IF('4_Debt_Schedule'!$C$73=1,"n/a",((G$52*'4_Debt_Schedule'!K63-'4_Debt_Schedule'!K61+'3_Financial_Statements'!K44+'3_Financial_Statements'!K50-'4_Debt_Schedule'!K53)-'0_Dashboard_Toggles'!$C$20*MAX(0,(G$52*'4_Debt_Schedule'!K63-'4_Debt_Schedule'!K61+'3_Financial_Statements'!K44+'3_Financial_Statements'!K50-'4_Debt_Schedule'!K53)-'5_Returns_Sensitivities'!$C$14))/'5_Returns_Sensitivities'!$C$14)</f>
        <v>2.6457275006604</v>
      </c>
    </row>
    <row r="65" customFormat="false" ht="15" hidden="false" customHeight="true" outlineLevel="0" collapsed="false">
      <c r="B65" s="95" t="n">
        <v>2033</v>
      </c>
      <c r="C65" s="30" t="n">
        <f aca="false">IF('4_Debt_Schedule'!$C$73=1,"n/a",((C$52*'4_Debt_Schedule'!L63-'4_Debt_Schedule'!L61+'3_Financial_Statements'!L44+'3_Financial_Statements'!L50-'4_Debt_Schedule'!L53)-'0_Dashboard_Toggles'!$C$20*MAX(0,(C$52*'4_Debt_Schedule'!L63-'4_Debt_Schedule'!L61+'3_Financial_Statements'!L44+'3_Financial_Statements'!L50-'4_Debt_Schedule'!L53)-'5_Returns_Sensitivities'!$C$14))/'5_Returns_Sensitivities'!$C$14)</f>
        <v>1.58124366925089</v>
      </c>
      <c r="D65" s="30" t="n">
        <f aca="false">IF('4_Debt_Schedule'!$C$73=1,"n/a",((D$52*'4_Debt_Schedule'!L63-'4_Debt_Schedule'!L61+'3_Financial_Statements'!L44+'3_Financial_Statements'!L50-'4_Debt_Schedule'!L53)-'0_Dashboard_Toggles'!$C$20*MAX(0,(D$52*'4_Debt_Schedule'!L63-'4_Debt_Schedule'!L61+'3_Financial_Statements'!L44+'3_Financial_Statements'!L50-'4_Debt_Schedule'!L53)-'5_Returns_Sensitivities'!$C$14))/'5_Returns_Sensitivities'!$C$14)</f>
        <v>1.75146051451979</v>
      </c>
      <c r="E65" s="30" t="n">
        <f aca="false">IF('4_Debt_Schedule'!$C$73=1,"n/a",((E$52*'4_Debt_Schedule'!L63-'4_Debt_Schedule'!L61+'3_Financial_Statements'!L44+'3_Financial_Statements'!L50-'4_Debt_Schedule'!L53)-'0_Dashboard_Toggles'!$C$20*MAX(0,(E$52*'4_Debt_Schedule'!L63-'4_Debt_Schedule'!L61+'3_Financial_Statements'!L44+'3_Financial_Statements'!L50-'4_Debt_Schedule'!L53)-'5_Returns_Sensitivities'!$C$14))/'5_Returns_Sensitivities'!$C$14)</f>
        <v>2.09189420505759</v>
      </c>
      <c r="F65" s="30" t="n">
        <f aca="false">IF('4_Debt_Schedule'!$C$73=1,"n/a",((F$52*'4_Debt_Schedule'!L63-'4_Debt_Schedule'!L61+'3_Financial_Statements'!L44+'3_Financial_Statements'!L50-'4_Debt_Schedule'!L53)-'0_Dashboard_Toggles'!$C$20*MAX(0,(F$52*'4_Debt_Schedule'!L63-'4_Debt_Schedule'!L61+'3_Financial_Statements'!L44+'3_Financial_Statements'!L50-'4_Debt_Schedule'!L53)-'5_Returns_Sensitivities'!$C$14))/'5_Returns_Sensitivities'!$C$14)</f>
        <v>2.34721947296094</v>
      </c>
      <c r="G65" s="30" t="n">
        <f aca="false">IF('4_Debt_Schedule'!$C$73=1,"n/a",((G$52*'4_Debt_Schedule'!L63-'4_Debt_Schedule'!L61+'3_Financial_Statements'!L44+'3_Financial_Statements'!L50-'4_Debt_Schedule'!L53)-'0_Dashboard_Toggles'!$C$20*MAX(0,(G$52*'4_Debt_Schedule'!L63-'4_Debt_Schedule'!L61+'3_Financial_Statements'!L44+'3_Financial_Statements'!L50-'4_Debt_Schedule'!L53)-'5_Returns_Sensitivities'!$C$14))/'5_Returns_Sensitivities'!$C$14)</f>
        <v>2.98865970364089</v>
      </c>
    </row>
    <row r="66" customFormat="false" ht="15" hidden="false" customHeight="true" outlineLevel="0" collapsed="false">
      <c r="B66" s="63" t="s">
        <v>496</v>
      </c>
      <c r="C66" s="4" t="str">
        <f aca="false">IF(ABS(E58-'5_Returns_Sensitivities'!C19)&lt;0.00001,"OK","CHECK")</f>
        <v>OK</v>
      </c>
    </row>
    <row r="67" customFormat="false" ht="30" hidden="false" customHeight="true" outlineLevel="0" collapsed="false">
      <c r="B67" s="92" t="s">
        <v>497</v>
      </c>
      <c r="C67" s="92"/>
      <c r="D67" s="92"/>
      <c r="E67" s="92"/>
      <c r="F67" s="92"/>
      <c r="G67" s="92"/>
      <c r="H67" s="92"/>
      <c r="I67" s="92"/>
      <c r="J67" s="92"/>
      <c r="K67" s="92"/>
      <c r="L67" s="92"/>
      <c r="M67" s="92"/>
    </row>
    <row r="69" customFormat="false" ht="15" hidden="false" customHeight="true" outlineLevel="0" collapsed="false">
      <c r="B69" s="6" t="s">
        <v>498</v>
      </c>
      <c r="C69" s="6"/>
      <c r="D69" s="6"/>
      <c r="E69" s="6"/>
      <c r="F69" s="6"/>
      <c r="G69" s="6"/>
      <c r="H69" s="6"/>
      <c r="I69" s="6"/>
      <c r="J69" s="6"/>
      <c r="K69" s="6"/>
      <c r="L69" s="6"/>
      <c r="M69" s="6"/>
    </row>
    <row r="70" customFormat="false" ht="30" hidden="false" customHeight="true" outlineLevel="0" collapsed="false">
      <c r="B70" s="84" t="s">
        <v>499</v>
      </c>
      <c r="C70" s="85" t="s">
        <v>500</v>
      </c>
      <c r="D70" s="85" t="s">
        <v>501</v>
      </c>
      <c r="E70" s="85" t="s">
        <v>502</v>
      </c>
      <c r="F70" s="85" t="s">
        <v>503</v>
      </c>
      <c r="G70" s="85" t="s">
        <v>504</v>
      </c>
      <c r="H70" s="85" t="s">
        <v>505</v>
      </c>
      <c r="I70" s="85" t="s">
        <v>506</v>
      </c>
    </row>
    <row r="71" customFormat="false" ht="15" hidden="false" customHeight="true" outlineLevel="0" collapsed="false">
      <c r="B71" s="3" t="s">
        <v>507</v>
      </c>
      <c r="C71" s="96" t="s">
        <v>508</v>
      </c>
      <c r="D71" s="97" t="n">
        <f aca="false">'1_Transaction_Summary'!C25/'0_Dashboard_Toggles'!C9/1000</f>
        <v>121.979153592274</v>
      </c>
      <c r="E71" s="97" t="n">
        <f aca="false">'5_Returns_Sensitivities'!C14/'0_Dashboard_Toggles'!C9/1000</f>
        <v>103.92983576918</v>
      </c>
      <c r="F71" s="97" t="n">
        <f aca="false">'1_Transaction_Summary'!C47/'0_Dashboard_Toggles'!C9/1000</f>
        <v>22.4988579259936</v>
      </c>
    </row>
    <row r="72" customFormat="false" ht="15" hidden="false" customHeight="true" outlineLevel="0" collapsed="false">
      <c r="B72" s="7" t="s">
        <v>509</v>
      </c>
      <c r="E72" s="97" t="n">
        <f aca="false">'1_Transaction_Summary'!C50/'0_Dashboard_Toggles'!C9/1000</f>
        <v>67.9007635226554</v>
      </c>
    </row>
    <row r="73" customFormat="false" ht="15" hidden="false" customHeight="true" outlineLevel="0" collapsed="false">
      <c r="B73" s="7" t="s">
        <v>510</v>
      </c>
      <c r="C73" s="96" t="s">
        <v>511</v>
      </c>
      <c r="D73" s="54" t="n">
        <v>55</v>
      </c>
      <c r="E73" s="54" t="n">
        <v>36</v>
      </c>
      <c r="F73" s="54" t="n">
        <v>20</v>
      </c>
      <c r="G73" s="17" t="n">
        <f aca="false">$D$71/D73</f>
        <v>2.21780279258679</v>
      </c>
      <c r="H73" s="17" t="n">
        <f aca="false">$E$71/E73</f>
        <v>2.88693988247721</v>
      </c>
      <c r="I73" s="5" t="s">
        <v>512</v>
      </c>
    </row>
    <row r="74" customFormat="false" ht="15" hidden="false" customHeight="true" outlineLevel="0" collapsed="false">
      <c r="B74" s="7" t="s">
        <v>513</v>
      </c>
      <c r="C74" s="96" t="s">
        <v>514</v>
      </c>
      <c r="D74" s="54" t="n">
        <v>45</v>
      </c>
      <c r="E74" s="54" t="n">
        <v>8</v>
      </c>
      <c r="G74" s="17" t="n">
        <f aca="false">$D$71/D74</f>
        <v>2.71064785760608</v>
      </c>
      <c r="H74" s="17" t="n">
        <f aca="false">$E$71/E74</f>
        <v>12.9912294711475</v>
      </c>
      <c r="I74" s="5" t="s">
        <v>515</v>
      </c>
    </row>
    <row r="75" customFormat="false" ht="15" hidden="false" customHeight="true" outlineLevel="0" collapsed="false">
      <c r="B75" s="7" t="s">
        <v>516</v>
      </c>
      <c r="C75" s="96" t="s">
        <v>517</v>
      </c>
      <c r="D75" s="54" t="n">
        <v>33</v>
      </c>
      <c r="G75" s="17" t="n">
        <f aca="false">$D$71/D75</f>
        <v>3.69633798764465</v>
      </c>
      <c r="I75" s="5" t="s">
        <v>518</v>
      </c>
    </row>
    <row r="76" customFormat="false" ht="15" hidden="false" customHeight="true" outlineLevel="0" collapsed="false">
      <c r="B76" s="7" t="s">
        <v>519</v>
      </c>
      <c r="C76" s="96" t="s">
        <v>514</v>
      </c>
      <c r="D76" s="54" t="n">
        <v>26</v>
      </c>
      <c r="G76" s="17" t="n">
        <f aca="false">$D$71/D76</f>
        <v>4.69150590739514</v>
      </c>
      <c r="I76" s="5" t="s">
        <v>518</v>
      </c>
    </row>
    <row r="77" customFormat="false" ht="15" hidden="false" customHeight="true" outlineLevel="0" collapsed="false">
      <c r="B77" s="7" t="s">
        <v>520</v>
      </c>
      <c r="C77" s="96" t="s">
        <v>521</v>
      </c>
      <c r="D77" s="54" t="n">
        <v>24.9</v>
      </c>
      <c r="G77" s="17" t="n">
        <f aca="false">$D$71/D77</f>
        <v>4.89876118844472</v>
      </c>
      <c r="I77" s="5" t="s">
        <v>518</v>
      </c>
    </row>
    <row r="79" customFormat="false" ht="42" hidden="false" customHeight="true" outlineLevel="0" collapsed="false">
      <c r="B79" s="92" t="s">
        <v>522</v>
      </c>
      <c r="C79" s="92"/>
      <c r="D79" s="92"/>
      <c r="E79" s="92"/>
      <c r="F79" s="92"/>
      <c r="G79" s="92"/>
      <c r="H79" s="92"/>
      <c r="I79" s="92"/>
      <c r="J79" s="92"/>
      <c r="K79" s="92"/>
      <c r="L79" s="92"/>
      <c r="M79" s="92"/>
    </row>
    <row r="81" customFormat="false" ht="15" hidden="false" customHeight="true" outlineLevel="0" collapsed="false">
      <c r="B81" s="6" t="s">
        <v>523</v>
      </c>
      <c r="C81" s="6"/>
      <c r="D81" s="6"/>
      <c r="E81" s="6"/>
      <c r="F81" s="6"/>
      <c r="G81" s="6"/>
      <c r="H81" s="6"/>
      <c r="I81" s="6"/>
      <c r="J81" s="6"/>
      <c r="K81" s="6"/>
      <c r="L81" s="6"/>
      <c r="M81" s="6"/>
    </row>
    <row r="82" customFormat="false" ht="15" hidden="false" customHeight="true" outlineLevel="0" collapsed="false">
      <c r="B82" s="3" t="s">
        <v>524</v>
      </c>
      <c r="C82" s="31" t="s">
        <v>525</v>
      </c>
      <c r="D82" s="31" t="s">
        <v>526</v>
      </c>
      <c r="E82" s="3" t="s">
        <v>527</v>
      </c>
    </row>
    <row r="83" customFormat="false" ht="15" hidden="false" customHeight="true" outlineLevel="0" collapsed="false">
      <c r="B83" s="7" t="s">
        <v>528</v>
      </c>
      <c r="C83" s="46" t="n">
        <v>0.093</v>
      </c>
      <c r="D83" s="46" t="n">
        <v>0.405</v>
      </c>
      <c r="E83" s="5" t="s">
        <v>529</v>
      </c>
    </row>
    <row r="84" customFormat="false" ht="15" hidden="false" customHeight="true" outlineLevel="0" collapsed="false">
      <c r="B84" s="7" t="s">
        <v>530</v>
      </c>
      <c r="C84" s="46" t="n">
        <v>0.139</v>
      </c>
      <c r="D84" s="46" t="n">
        <v>0.288</v>
      </c>
      <c r="E84" s="5" t="s">
        <v>531</v>
      </c>
    </row>
    <row r="85" customFormat="false" ht="15" hidden="false" customHeight="true" outlineLevel="0" collapsed="false">
      <c r="B85" s="7" t="s">
        <v>532</v>
      </c>
      <c r="C85" s="46" t="n">
        <v>0.081</v>
      </c>
      <c r="E85" s="5" t="s">
        <v>533</v>
      </c>
    </row>
    <row r="86" customFormat="false" ht="15" hidden="false" customHeight="true" outlineLevel="0" collapsed="false">
      <c r="B86" s="3" t="s">
        <v>534</v>
      </c>
      <c r="C86" s="19" t="n">
        <f aca="false">SUM(C83:C85)</f>
        <v>0.313</v>
      </c>
      <c r="D86" s="19" t="n">
        <f aca="false">D83+D84</f>
        <v>0.693</v>
      </c>
      <c r="E86" s="5" t="s">
        <v>535</v>
      </c>
    </row>
    <row r="87" customFormat="false" ht="15" hidden="false" customHeight="true" outlineLevel="0" collapsed="false">
      <c r="B87" s="7" t="s">
        <v>536</v>
      </c>
      <c r="C87" s="41" t="n">
        <f aca="false">C86*'1_Transaction_Summary'!C10*'1_Transaction_Summary'!C8</f>
        <v>35948.0958497345</v>
      </c>
    </row>
    <row r="88" customFormat="false" ht="15" hidden="false" customHeight="true" outlineLevel="0" collapsed="false">
      <c r="B88" s="7" t="s">
        <v>537</v>
      </c>
      <c r="C88" s="27" t="n">
        <f aca="false">'1_Transaction_Summary'!C49</f>
        <v>31547.0556590566</v>
      </c>
    </row>
    <row r="89" customFormat="false" ht="15" hidden="false" customHeight="true" outlineLevel="0" collapsed="false">
      <c r="B89" s="7" t="s">
        <v>538</v>
      </c>
      <c r="C89" s="45" t="n">
        <f aca="false">C88/C87</f>
        <v>0.877572369644429</v>
      </c>
    </row>
    <row r="90" customFormat="false" ht="15" hidden="false" customHeight="true" outlineLevel="0" collapsed="false">
      <c r="B90" s="7" t="s">
        <v>539</v>
      </c>
      <c r="C90" s="45" t="n">
        <f aca="false">C88/'5_Returns_Sensitivities'!C14</f>
        <v>0.346667268161013</v>
      </c>
    </row>
    <row r="91" customFormat="false" ht="15" hidden="false" customHeight="true" outlineLevel="0" collapsed="false">
      <c r="B91" s="7" t="s">
        <v>540</v>
      </c>
      <c r="C91" s="41" t="n">
        <f aca="false">C87-C88</f>
        <v>4401.04019067794</v>
      </c>
    </row>
    <row r="92" customFormat="false" ht="55.5" hidden="false" customHeight="true" outlineLevel="0" collapsed="false">
      <c r="B92" s="92" t="s">
        <v>541</v>
      </c>
      <c r="C92" s="92"/>
      <c r="D92" s="92"/>
      <c r="E92" s="92"/>
      <c r="F92" s="92"/>
      <c r="G92" s="92"/>
      <c r="H92" s="92"/>
      <c r="I92" s="92"/>
      <c r="J92" s="92"/>
      <c r="K92" s="92"/>
      <c r="L92" s="92"/>
      <c r="M92" s="92"/>
    </row>
    <row r="94" customFormat="false" ht="15" hidden="false" customHeight="true" outlineLevel="0" collapsed="false">
      <c r="B94" s="6" t="s">
        <v>542</v>
      </c>
      <c r="C94" s="6"/>
      <c r="D94" s="6"/>
      <c r="E94" s="6"/>
      <c r="F94" s="6"/>
      <c r="G94" s="6"/>
      <c r="H94" s="6"/>
      <c r="I94" s="6"/>
      <c r="J94" s="6"/>
      <c r="K94" s="6"/>
      <c r="L94" s="6"/>
      <c r="M94" s="6"/>
    </row>
    <row r="95" customFormat="false" ht="15" hidden="false" customHeight="true" outlineLevel="0" collapsed="false">
      <c r="B95" s="5" t="s">
        <v>543</v>
      </c>
    </row>
    <row r="96" customFormat="false" ht="15" hidden="false" customHeight="true" outlineLevel="0" collapsed="false">
      <c r="B96" s="3" t="s">
        <v>544</v>
      </c>
      <c r="C96" s="70" t="n">
        <v>16</v>
      </c>
      <c r="D96" s="70" t="n">
        <v>18</v>
      </c>
      <c r="E96" s="70" t="n">
        <v>22</v>
      </c>
      <c r="F96" s="70" t="n">
        <v>24.3</v>
      </c>
      <c r="G96" s="70" t="n">
        <v>25</v>
      </c>
    </row>
    <row r="97" customFormat="false" ht="15" hidden="false" customHeight="true" outlineLevel="0" collapsed="false">
      <c r="B97" s="7" t="s">
        <v>545</v>
      </c>
      <c r="C97" s="98" t="n">
        <v>173423.31216594</v>
      </c>
      <c r="D97" s="98" t="n">
        <v>190260.156777316</v>
      </c>
      <c r="E97" s="98" t="n">
        <v>223933.846000068</v>
      </c>
      <c r="F97" s="98" t="n">
        <v>243296.217303151</v>
      </c>
      <c r="G97" s="98" t="n">
        <v>249189.112917132</v>
      </c>
    </row>
    <row r="98" customFormat="false" ht="15" hidden="false" customHeight="true" outlineLevel="0" collapsed="false">
      <c r="B98" s="7" t="s">
        <v>546</v>
      </c>
      <c r="C98" s="99" t="n">
        <v>208.843264438507</v>
      </c>
      <c r="D98" s="99" t="n">
        <v>208.843264438507</v>
      </c>
      <c r="E98" s="99" t="n">
        <v>208.843264438507</v>
      </c>
      <c r="F98" s="99" t="n">
        <v>208.843264438507</v>
      </c>
      <c r="G98" s="99" t="n">
        <v>208.843264438507</v>
      </c>
    </row>
    <row r="99" customFormat="false" ht="15" hidden="false" customHeight="true" outlineLevel="0" collapsed="false">
      <c r="B99" s="7" t="s">
        <v>547</v>
      </c>
      <c r="C99" s="100" t="n">
        <f aca="false">C97/C98</f>
        <v>830.399355383586</v>
      </c>
      <c r="D99" s="100" t="n">
        <f aca="false">D97/D98</f>
        <v>911.018879583437</v>
      </c>
      <c r="E99" s="100" t="n">
        <f aca="false">E97/E98</f>
        <v>1072.25792798314</v>
      </c>
      <c r="F99" s="100" t="n">
        <f aca="false">F97/F98</f>
        <v>1164.97038081297</v>
      </c>
      <c r="G99" s="100" t="n">
        <f aca="false">G97/G98</f>
        <v>1193.18721428291</v>
      </c>
    </row>
    <row r="100" customFormat="false" ht="15" hidden="false" customHeight="true" outlineLevel="0" collapsed="false">
      <c r="B100" s="7" t="s">
        <v>548</v>
      </c>
      <c r="C100" s="75" t="n">
        <v>0.111667217021183</v>
      </c>
      <c r="D100" s="75" t="n">
        <v>0.126479838902937</v>
      </c>
      <c r="E100" s="75" t="n">
        <v>0.153011644107067</v>
      </c>
      <c r="F100" s="75" t="n">
        <v>0.166752610990115</v>
      </c>
      <c r="G100" s="75" t="n">
        <v>0.170748464275432</v>
      </c>
    </row>
    <row r="101" customFormat="false" ht="15" hidden="false" customHeight="true" outlineLevel="0" collapsed="false">
      <c r="B101" s="7" t="s">
        <v>549</v>
      </c>
      <c r="C101" s="100" t="n">
        <f aca="false">100*MAX((1+$C$103)^7,(1+$C$103)^7*C99/$C$105)</f>
        <v>242.370170317732</v>
      </c>
      <c r="D101" s="100" t="n">
        <f aca="false">100*MAX((1+$C$103)^7,(1+$C$103)^7*D99/$C$105)</f>
        <v>265.900737489507</v>
      </c>
      <c r="E101" s="100" t="n">
        <f aca="false">100*MAX((1+$C$103)^7,(1+$C$103)^7*E99/$C$105)</f>
        <v>312.961871833057</v>
      </c>
      <c r="F101" s="100" t="n">
        <f aca="false">100*MAX((1+$C$103)^7,(1+$C$103)^7*F99/$C$105)</f>
        <v>340.0220240806</v>
      </c>
      <c r="G101" s="100" t="n">
        <f aca="false">100*MAX((1+$C$103)^7,(1+$C$103)^7*G99/$C$105)</f>
        <v>348.25772259072</v>
      </c>
    </row>
    <row r="102" customFormat="false" ht="15" hidden="false" customHeight="true" outlineLevel="0" collapsed="false">
      <c r="B102" s="7" t="s">
        <v>550</v>
      </c>
      <c r="C102" s="45" t="n">
        <f aca="false">(C101/100)^(1/7)-1</f>
        <v>0.134816379046715</v>
      </c>
      <c r="D102" s="45" t="n">
        <f aca="false">(D101/100)^(1/7)-1</f>
        <v>0.149937456353539</v>
      </c>
      <c r="E102" s="45" t="n">
        <f aca="false">(E101/100)^(1/7)-1</f>
        <v>0.177021755188943</v>
      </c>
      <c r="F102" s="45" t="n">
        <f aca="false">(F101/100)^(1/7)-1</f>
        <v>0.191048861542413</v>
      </c>
      <c r="G102" s="45" t="n">
        <f aca="false">(G101/100)^(1/7)-1</f>
        <v>0.195127923771661</v>
      </c>
    </row>
    <row r="103" customFormat="false" ht="15" hidden="false" customHeight="true" outlineLevel="0" collapsed="false">
      <c r="B103" s="7" t="s">
        <v>551</v>
      </c>
      <c r="C103" s="10" t="n">
        <v>0.06</v>
      </c>
      <c r="D103" s="5" t="s">
        <v>552</v>
      </c>
    </row>
    <row r="104" customFormat="false" ht="15" hidden="false" customHeight="true" outlineLevel="0" collapsed="false">
      <c r="B104" s="7" t="s">
        <v>553</v>
      </c>
      <c r="C104" s="10" t="n">
        <v>0.2</v>
      </c>
      <c r="D104" s="5" t="s">
        <v>552</v>
      </c>
    </row>
    <row r="105" customFormat="false" ht="15" hidden="false" customHeight="true" outlineLevel="0" collapsed="false">
      <c r="B105" s="7" t="s">
        <v>554</v>
      </c>
      <c r="C105" s="40" t="n">
        <f aca="false">'0_Dashboard_Toggles'!C8*(1+C104)*'0_Dashboard_Toggles'!C9</f>
        <v>515.168016</v>
      </c>
    </row>
    <row r="106" customFormat="false" ht="15" hidden="false" customHeight="true" outlineLevel="0" collapsed="false">
      <c r="B106" s="7" t="s">
        <v>555</v>
      </c>
      <c r="C106" s="40" t="n">
        <f aca="false">'0_Dashboard_Toggles'!C8*'0_Dashboard_Toggles'!C9</f>
        <v>429.30668</v>
      </c>
    </row>
    <row r="107" customFormat="false" ht="15" hidden="false" customHeight="true" outlineLevel="0" collapsed="false">
      <c r="B107" s="7" t="s">
        <v>556</v>
      </c>
      <c r="C107" s="100" t="n">
        <f aca="false">$C$105*(1.12/(1+$C$103))^7</f>
        <v>757.415160975436</v>
      </c>
      <c r="D107" s="100" t="n">
        <f aca="false">$C$105*(1.14/(1+$C$103))^7</f>
        <v>857.317708923193</v>
      </c>
    </row>
    <row r="108" customFormat="false" ht="15" hidden="false" customHeight="true" outlineLevel="0" collapsed="false">
      <c r="B108" s="7" t="s">
        <v>557</v>
      </c>
      <c r="C108" s="45" t="n">
        <f aca="false">(C107/$C$106)^(1/7)-1</f>
        <v>0.0844855356678154</v>
      </c>
      <c r="D108" s="45" t="n">
        <f aca="false">(D107/$C$106)^(1/7)-1</f>
        <v>0.103851348804741</v>
      </c>
    </row>
    <row r="109" customFormat="false" ht="55.5" hidden="false" customHeight="true" outlineLevel="0" collapsed="false">
      <c r="B109" s="92" t="s">
        <v>558</v>
      </c>
      <c r="C109" s="92"/>
      <c r="D109" s="92"/>
      <c r="E109" s="92"/>
      <c r="F109" s="92"/>
      <c r="G109" s="92"/>
      <c r="H109" s="92"/>
      <c r="I109" s="92"/>
      <c r="J109" s="92"/>
      <c r="K109" s="92"/>
      <c r="L109" s="92"/>
      <c r="M109" s="92"/>
    </row>
  </sheetData>
  <mergeCells count="6">
    <mergeCell ref="B32:M32"/>
    <mergeCell ref="B49:M49"/>
    <mergeCell ref="B67:M67"/>
    <mergeCell ref="B79:M79"/>
    <mergeCell ref="B92:M92"/>
    <mergeCell ref="B109:M10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30"/>
    <col collapsed="false" customWidth="true" hidden="false" outlineLevel="0" max="6" min="4" style="1" width="22"/>
    <col collapsed="false" customWidth="true" hidden="false" outlineLevel="0" max="7" min="7" style="1" width="62"/>
    <col collapsed="false" customWidth="true" hidden="false" outlineLevel="0" max="9" min="8" style="1" width="46"/>
  </cols>
  <sheetData>
    <row r="1" customFormat="false" ht="17.25" hidden="false" customHeight="true" outlineLevel="0" collapsed="false">
      <c r="B1" s="2" t="s">
        <v>559</v>
      </c>
    </row>
    <row r="2" customFormat="false" ht="15" hidden="false" customHeight="true" outlineLevel="0" collapsed="false">
      <c r="B2" s="63" t="s">
        <v>560</v>
      </c>
    </row>
    <row r="4" customFormat="false" ht="15" hidden="false" customHeight="true" outlineLevel="0" collapsed="false">
      <c r="B4" s="101" t="s">
        <v>561</v>
      </c>
      <c r="C4" s="101" t="s">
        <v>562</v>
      </c>
      <c r="D4" s="101" t="s">
        <v>563</v>
      </c>
      <c r="E4" s="101" t="s">
        <v>564</v>
      </c>
      <c r="F4" s="101" t="s">
        <v>565</v>
      </c>
      <c r="G4" s="101" t="s">
        <v>566</v>
      </c>
      <c r="H4" s="101" t="s">
        <v>567</v>
      </c>
      <c r="I4" s="101" t="s">
        <v>568</v>
      </c>
    </row>
    <row r="5" customFormat="false" ht="90" hidden="false" customHeight="true" outlineLevel="0" collapsed="false">
      <c r="B5" s="102" t="n">
        <v>1</v>
      </c>
      <c r="C5" s="103" t="s">
        <v>569</v>
      </c>
      <c r="D5" s="103" t="s">
        <v>570</v>
      </c>
      <c r="E5" s="103" t="s">
        <v>571</v>
      </c>
      <c r="F5" s="103" t="s">
        <v>572</v>
      </c>
      <c r="G5" s="103" t="s">
        <v>573</v>
      </c>
      <c r="H5" s="103" t="s">
        <v>574</v>
      </c>
      <c r="I5" s="103" t="s">
        <v>575</v>
      </c>
    </row>
    <row r="6" customFormat="false" ht="60" hidden="false" customHeight="true" outlineLevel="0" collapsed="false">
      <c r="B6" s="102" t="n">
        <v>2</v>
      </c>
      <c r="C6" s="103" t="s">
        <v>153</v>
      </c>
      <c r="D6" s="103" t="s">
        <v>576</v>
      </c>
      <c r="E6" s="103" t="s">
        <v>577</v>
      </c>
      <c r="F6" s="103" t="s">
        <v>572</v>
      </c>
      <c r="G6" s="103" t="s">
        <v>578</v>
      </c>
      <c r="H6" s="103" t="s">
        <v>579</v>
      </c>
      <c r="I6" s="103" t="s">
        <v>580</v>
      </c>
    </row>
    <row r="7" customFormat="false" ht="105" hidden="false" customHeight="true" outlineLevel="0" collapsed="false">
      <c r="B7" s="102" t="n">
        <v>3</v>
      </c>
      <c r="C7" s="103" t="s">
        <v>581</v>
      </c>
      <c r="D7" s="103" t="s">
        <v>582</v>
      </c>
      <c r="E7" s="103" t="s">
        <v>583</v>
      </c>
      <c r="F7" s="103" t="s">
        <v>572</v>
      </c>
      <c r="G7" s="103" t="s">
        <v>584</v>
      </c>
      <c r="H7" s="103" t="s">
        <v>585</v>
      </c>
      <c r="I7" s="103" t="s">
        <v>586</v>
      </c>
    </row>
    <row r="8" customFormat="false" ht="75" hidden="false" customHeight="true" outlineLevel="0" collapsed="false">
      <c r="B8" s="102" t="n">
        <v>4</v>
      </c>
      <c r="C8" s="103" t="s">
        <v>587</v>
      </c>
      <c r="D8" s="103" t="s">
        <v>588</v>
      </c>
      <c r="E8" s="103" t="s">
        <v>589</v>
      </c>
      <c r="F8" s="103" t="s">
        <v>572</v>
      </c>
      <c r="G8" s="103" t="s">
        <v>590</v>
      </c>
      <c r="H8" s="103" t="s">
        <v>591</v>
      </c>
      <c r="I8" s="103" t="s">
        <v>592</v>
      </c>
    </row>
    <row r="9" customFormat="false" ht="90" hidden="false" customHeight="true" outlineLevel="0" collapsed="false">
      <c r="B9" s="102" t="n">
        <v>5</v>
      </c>
      <c r="C9" s="103" t="s">
        <v>593</v>
      </c>
      <c r="D9" s="103" t="s">
        <v>594</v>
      </c>
      <c r="E9" s="103" t="s">
        <v>595</v>
      </c>
      <c r="F9" s="103" t="s">
        <v>596</v>
      </c>
      <c r="G9" s="103" t="s">
        <v>597</v>
      </c>
      <c r="H9" s="103" t="s">
        <v>598</v>
      </c>
      <c r="I9" s="103" t="s">
        <v>599</v>
      </c>
    </row>
    <row r="10" customFormat="false" ht="105" hidden="false" customHeight="true" outlineLevel="0" collapsed="false">
      <c r="B10" s="102" t="n">
        <v>6</v>
      </c>
      <c r="C10" s="103" t="s">
        <v>600</v>
      </c>
      <c r="D10" s="103" t="s">
        <v>601</v>
      </c>
      <c r="E10" s="103" t="s">
        <v>602</v>
      </c>
      <c r="F10" s="103" t="s">
        <v>603</v>
      </c>
      <c r="G10" s="103" t="s">
        <v>604</v>
      </c>
      <c r="H10" s="103" t="s">
        <v>605</v>
      </c>
      <c r="I10" s="103" t="s">
        <v>606</v>
      </c>
    </row>
    <row r="11" customFormat="false" ht="105" hidden="false" customHeight="true" outlineLevel="0" collapsed="false">
      <c r="B11" s="102" t="n">
        <v>7</v>
      </c>
      <c r="C11" s="103" t="s">
        <v>607</v>
      </c>
      <c r="D11" s="103" t="s">
        <v>608</v>
      </c>
      <c r="E11" s="103" t="s">
        <v>609</v>
      </c>
      <c r="F11" s="103" t="s">
        <v>610</v>
      </c>
      <c r="G11" s="103" t="s">
        <v>611</v>
      </c>
      <c r="H11" s="103" t="s">
        <v>612</v>
      </c>
      <c r="I11" s="103" t="s">
        <v>613</v>
      </c>
    </row>
    <row r="12" customFormat="false" ht="60" hidden="false" customHeight="true" outlineLevel="0" collapsed="false">
      <c r="B12" s="102" t="n">
        <v>8</v>
      </c>
      <c r="C12" s="103" t="s">
        <v>614</v>
      </c>
      <c r="D12" s="103" t="s">
        <v>615</v>
      </c>
      <c r="E12" s="103" t="s">
        <v>616</v>
      </c>
      <c r="F12" s="103" t="s">
        <v>572</v>
      </c>
      <c r="G12" s="103" t="s">
        <v>617</v>
      </c>
      <c r="H12" s="103" t="s">
        <v>618</v>
      </c>
      <c r="I12" s="103" t="s">
        <v>619</v>
      </c>
    </row>
    <row r="13" customFormat="false" ht="60" hidden="false" customHeight="true" outlineLevel="0" collapsed="false">
      <c r="B13" s="102" t="n">
        <v>9</v>
      </c>
      <c r="C13" s="103" t="s">
        <v>620</v>
      </c>
      <c r="D13" s="103" t="s">
        <v>621</v>
      </c>
      <c r="E13" s="103" t="s">
        <v>622</v>
      </c>
      <c r="F13" s="103" t="s">
        <v>572</v>
      </c>
      <c r="G13" s="103" t="s">
        <v>623</v>
      </c>
      <c r="H13" s="103" t="s">
        <v>624</v>
      </c>
      <c r="I13" s="103" t="s">
        <v>625</v>
      </c>
    </row>
    <row r="14" customFormat="false" ht="75" hidden="false" customHeight="true" outlineLevel="0" collapsed="false">
      <c r="B14" s="102" t="n">
        <v>10</v>
      </c>
      <c r="C14" s="103" t="s">
        <v>626</v>
      </c>
      <c r="D14" s="103" t="s">
        <v>627</v>
      </c>
      <c r="E14" s="103" t="s">
        <v>628</v>
      </c>
      <c r="F14" s="103" t="s">
        <v>572</v>
      </c>
      <c r="G14" s="103" t="s">
        <v>629</v>
      </c>
      <c r="H14" s="103" t="s">
        <v>630</v>
      </c>
      <c r="I14" s="103" t="s">
        <v>631</v>
      </c>
    </row>
    <row r="15" customFormat="false" ht="60" hidden="false" customHeight="true" outlineLevel="0" collapsed="false">
      <c r="B15" s="102" t="n">
        <v>11</v>
      </c>
      <c r="C15" s="103" t="s">
        <v>632</v>
      </c>
      <c r="D15" s="103" t="s">
        <v>633</v>
      </c>
      <c r="E15" s="103" t="s">
        <v>634</v>
      </c>
      <c r="F15" s="103" t="s">
        <v>635</v>
      </c>
      <c r="G15" s="103" t="s">
        <v>636</v>
      </c>
      <c r="H15" s="103" t="s">
        <v>637</v>
      </c>
      <c r="I15" s="103" t="s">
        <v>638</v>
      </c>
    </row>
    <row r="16" customFormat="false" ht="60" hidden="false" customHeight="true" outlineLevel="0" collapsed="false">
      <c r="B16" s="102" t="n">
        <v>12</v>
      </c>
      <c r="C16" s="103" t="s">
        <v>639</v>
      </c>
      <c r="D16" s="103" t="s">
        <v>640</v>
      </c>
      <c r="E16" s="103" t="s">
        <v>641</v>
      </c>
      <c r="F16" s="103" t="s">
        <v>572</v>
      </c>
      <c r="G16" s="103" t="s">
        <v>642</v>
      </c>
      <c r="H16" s="103" t="s">
        <v>643</v>
      </c>
      <c r="I16" s="103" t="s">
        <v>644</v>
      </c>
    </row>
    <row r="17" customFormat="false" ht="60" hidden="false" customHeight="true" outlineLevel="0" collapsed="false">
      <c r="B17" s="102" t="n">
        <v>13</v>
      </c>
      <c r="C17" s="103" t="s">
        <v>645</v>
      </c>
      <c r="D17" s="103" t="s">
        <v>646</v>
      </c>
      <c r="E17" s="103" t="s">
        <v>647</v>
      </c>
      <c r="F17" s="103" t="s">
        <v>572</v>
      </c>
      <c r="G17" s="103" t="s">
        <v>648</v>
      </c>
      <c r="H17" s="103" t="s">
        <v>453</v>
      </c>
      <c r="I17" s="103" t="s">
        <v>649</v>
      </c>
    </row>
    <row r="18" customFormat="false" ht="60" hidden="false" customHeight="true" outlineLevel="0" collapsed="false">
      <c r="B18" s="102" t="n">
        <v>14</v>
      </c>
      <c r="C18" s="103" t="s">
        <v>650</v>
      </c>
      <c r="D18" s="103" t="s">
        <v>651</v>
      </c>
      <c r="E18" s="103" t="s">
        <v>652</v>
      </c>
      <c r="F18" s="103" t="s">
        <v>653</v>
      </c>
      <c r="G18" s="103" t="s">
        <v>654</v>
      </c>
      <c r="H18" s="103" t="s">
        <v>655</v>
      </c>
      <c r="I18" s="103" t="s">
        <v>453</v>
      </c>
    </row>
    <row r="19" customFormat="false" ht="60" hidden="false" customHeight="true" outlineLevel="0" collapsed="false">
      <c r="B19" s="102" t="n">
        <v>15</v>
      </c>
      <c r="C19" s="103" t="s">
        <v>656</v>
      </c>
      <c r="D19" s="103" t="s">
        <v>657</v>
      </c>
      <c r="E19" s="103" t="s">
        <v>658</v>
      </c>
      <c r="F19" s="103" t="s">
        <v>572</v>
      </c>
      <c r="G19" s="103" t="s">
        <v>659</v>
      </c>
      <c r="H19" s="103" t="s">
        <v>660</v>
      </c>
      <c r="I19" s="103" t="s">
        <v>661</v>
      </c>
    </row>
    <row r="20" customFormat="false" ht="60" hidden="false" customHeight="true" outlineLevel="0" collapsed="false">
      <c r="B20" s="102" t="n">
        <v>16</v>
      </c>
      <c r="C20" s="103" t="s">
        <v>662</v>
      </c>
      <c r="D20" s="103" t="s">
        <v>663</v>
      </c>
      <c r="E20" s="103" t="s">
        <v>664</v>
      </c>
      <c r="F20" s="103" t="s">
        <v>653</v>
      </c>
      <c r="G20" s="103" t="s">
        <v>665</v>
      </c>
      <c r="H20" s="103" t="s">
        <v>666</v>
      </c>
      <c r="I20" s="103" t="s">
        <v>453</v>
      </c>
    </row>
    <row r="21" customFormat="false" ht="60" hidden="false" customHeight="true" outlineLevel="0" collapsed="false">
      <c r="B21" s="102" t="n">
        <v>17</v>
      </c>
      <c r="C21" s="103" t="s">
        <v>667</v>
      </c>
      <c r="D21" s="103" t="s">
        <v>668</v>
      </c>
      <c r="E21" s="103" t="s">
        <v>669</v>
      </c>
      <c r="F21" s="103" t="s">
        <v>572</v>
      </c>
      <c r="G21" s="103" t="s">
        <v>670</v>
      </c>
      <c r="H21" s="103" t="s">
        <v>671</v>
      </c>
      <c r="I21" s="103" t="s">
        <v>672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4" min="3" style="1" width="26"/>
    <col collapsed="false" customWidth="true" hidden="false" outlineLevel="0" max="5" min="5" style="1" width="16"/>
    <col collapsed="false" customWidth="true" hidden="false" outlineLevel="0" max="6" min="6" style="1" width="60"/>
    <col collapsed="false" customWidth="true" hidden="false" outlineLevel="0" max="7" min="7" style="1" width="40"/>
  </cols>
  <sheetData>
    <row r="1" customFormat="false" ht="17.25" hidden="false" customHeight="true" outlineLevel="0" collapsed="false">
      <c r="B1" s="2" t="s">
        <v>673</v>
      </c>
    </row>
    <row r="2" customFormat="false" ht="15" hidden="false" customHeight="true" outlineLevel="0" collapsed="false">
      <c r="B2" s="63" t="s">
        <v>674</v>
      </c>
    </row>
    <row r="4" customFormat="false" ht="15" hidden="false" customHeight="true" outlineLevel="0" collapsed="false">
      <c r="B4" s="6" t="s">
        <v>675</v>
      </c>
      <c r="C4" s="6"/>
      <c r="D4" s="6"/>
      <c r="E4" s="6"/>
      <c r="F4" s="6"/>
      <c r="G4" s="6"/>
    </row>
    <row r="5" customFormat="false" ht="15" hidden="false" customHeight="true" outlineLevel="0" collapsed="false">
      <c r="B5" s="3" t="s">
        <v>676</v>
      </c>
      <c r="C5" s="31" t="s">
        <v>677</v>
      </c>
      <c r="D5" s="31" t="s">
        <v>678</v>
      </c>
      <c r="E5" s="31" t="s">
        <v>679</v>
      </c>
      <c r="F5" s="3" t="s">
        <v>680</v>
      </c>
    </row>
    <row r="6" customFormat="false" ht="15" hidden="false" customHeight="true" outlineLevel="0" collapsed="false">
      <c r="B6" s="7" t="s">
        <v>681</v>
      </c>
      <c r="C6" s="104" t="n">
        <v>0.110338142505987</v>
      </c>
      <c r="D6" s="104" t="n">
        <v>0.110338142505987</v>
      </c>
      <c r="E6" s="105" t="n">
        <f aca="false">D6-C6</f>
        <v>0</v>
      </c>
      <c r="F6" s="5" t="s">
        <v>682</v>
      </c>
    </row>
    <row r="7" customFormat="false" ht="15" hidden="false" customHeight="true" outlineLevel="0" collapsed="false">
      <c r="B7" s="7" t="s">
        <v>683</v>
      </c>
      <c r="C7" s="88" t="n">
        <v>2.08059146767401</v>
      </c>
      <c r="D7" s="88" t="n">
        <v>2.08059146767401</v>
      </c>
      <c r="E7" s="105" t="n">
        <f aca="false">D7-C7</f>
        <v>0</v>
      </c>
    </row>
    <row r="8" customFormat="false" ht="15" hidden="false" customHeight="true" outlineLevel="0" collapsed="false">
      <c r="B8" s="7" t="s">
        <v>684</v>
      </c>
      <c r="C8" s="104" t="n">
        <v>0.0859023584937493</v>
      </c>
      <c r="D8" s="104" t="n">
        <v>0.0859023584937492</v>
      </c>
      <c r="E8" s="105" t="n">
        <f aca="false">D8-C8</f>
        <v>0</v>
      </c>
    </row>
    <row r="9" customFormat="false" ht="15" hidden="false" customHeight="true" outlineLevel="0" collapsed="false">
      <c r="B9" s="7" t="s">
        <v>685</v>
      </c>
      <c r="C9" s="88" t="n">
        <v>1.78047317413921</v>
      </c>
      <c r="D9" s="88" t="n">
        <v>1.78047317413921</v>
      </c>
      <c r="E9" s="105" t="n">
        <f aca="false">D9-C9</f>
        <v>0</v>
      </c>
    </row>
    <row r="10" customFormat="false" ht="15" hidden="false" customHeight="true" outlineLevel="0" collapsed="false">
      <c r="B10" s="7" t="s">
        <v>686</v>
      </c>
      <c r="C10" s="104" t="n">
        <v>0.175956196046734</v>
      </c>
      <c r="D10" s="104" t="n">
        <v>0.175956196046734</v>
      </c>
      <c r="E10" s="105" t="n">
        <f aca="false">D10-C10</f>
        <v>0</v>
      </c>
    </row>
    <row r="11" customFormat="false" ht="15" hidden="false" customHeight="true" outlineLevel="0" collapsed="false">
      <c r="B11" s="7" t="s">
        <v>687</v>
      </c>
      <c r="C11" s="104" t="n">
        <v>0.146500447762257</v>
      </c>
      <c r="D11" s="104" t="n">
        <v>0.146500447762224</v>
      </c>
      <c r="E11" s="105" t="n">
        <f aca="false">D11-C11</f>
        <v>-3.30013794069828E-014</v>
      </c>
    </row>
    <row r="12" customFormat="false" ht="15" hidden="false" customHeight="true" outlineLevel="0" collapsed="false">
      <c r="B12" s="7" t="s">
        <v>688</v>
      </c>
      <c r="C12" s="104" t="n">
        <v>-0.00796942279900314</v>
      </c>
      <c r="D12" s="104" t="n">
        <v>-0.00796942279900314</v>
      </c>
      <c r="E12" s="105" t="n">
        <f aca="false">D12-C12</f>
        <v>0</v>
      </c>
    </row>
    <row r="13" customFormat="false" ht="15" hidden="false" customHeight="true" outlineLevel="0" collapsed="false">
      <c r="B13" s="7" t="s">
        <v>689</v>
      </c>
      <c r="C13" s="104" t="n">
        <v>-0.0245120612728451</v>
      </c>
      <c r="D13" s="104" t="n">
        <v>-0.024512061272845</v>
      </c>
      <c r="E13" s="105" t="n">
        <f aca="false">D13-C13</f>
        <v>9.71445146547012E-017</v>
      </c>
    </row>
    <row r="14" customFormat="false" ht="15" hidden="false" customHeight="true" outlineLevel="0" collapsed="false">
      <c r="B14" s="7" t="s">
        <v>690</v>
      </c>
      <c r="C14" s="89" t="n">
        <v>8418.422305688</v>
      </c>
      <c r="D14" s="89" t="n">
        <v>8418.422305688</v>
      </c>
      <c r="E14" s="105" t="n">
        <f aca="false">D14-C14</f>
        <v>0</v>
      </c>
    </row>
    <row r="15" customFormat="false" ht="15" hidden="false" customHeight="true" outlineLevel="0" collapsed="false">
      <c r="B15" s="7" t="s">
        <v>691</v>
      </c>
      <c r="C15" s="89" t="n">
        <v>91000.9641994937</v>
      </c>
      <c r="D15" s="89" t="n">
        <v>91000.9641994937</v>
      </c>
      <c r="E15" s="105" t="n">
        <f aca="false">D15-C15</f>
        <v>0</v>
      </c>
    </row>
    <row r="16" customFormat="false" ht="15" hidden="false" customHeight="true" outlineLevel="0" collapsed="false">
      <c r="B16" s="7" t="s">
        <v>692</v>
      </c>
      <c r="C16" s="89" t="n">
        <v>59453.9085404371</v>
      </c>
      <c r="D16" s="89" t="n">
        <v>59453.9085404371</v>
      </c>
      <c r="E16" s="105" t="n">
        <f aca="false">D16-C16</f>
        <v>0</v>
      </c>
    </row>
    <row r="17" customFormat="false" ht="15" hidden="false" customHeight="true" outlineLevel="0" collapsed="false">
      <c r="B17" s="7" t="s">
        <v>693</v>
      </c>
      <c r="C17" s="88" t="n">
        <v>32.5367420852693</v>
      </c>
      <c r="D17" s="88" t="n">
        <v>32.5367420852694</v>
      </c>
      <c r="E17" s="105" t="n">
        <f aca="false">D17-C17</f>
        <v>0</v>
      </c>
    </row>
    <row r="18" customFormat="false" ht="15" hidden="false" customHeight="true" outlineLevel="0" collapsed="false">
      <c r="B18" s="7" t="s">
        <v>694</v>
      </c>
      <c r="C18" s="88" t="n">
        <v>2.95320119923702</v>
      </c>
      <c r="D18" s="88" t="n">
        <v>2.95320119923702</v>
      </c>
      <c r="E18" s="105" t="n">
        <f aca="false">D18-C18</f>
        <v>0</v>
      </c>
    </row>
    <row r="19" customFormat="false" ht="15" hidden="false" customHeight="true" outlineLevel="0" collapsed="false">
      <c r="B19" s="7" t="s">
        <v>695</v>
      </c>
      <c r="C19" s="83" t="s">
        <v>467</v>
      </c>
      <c r="D19" s="83" t="s">
        <v>467</v>
      </c>
    </row>
    <row r="20" customFormat="false" ht="15" hidden="false" customHeight="true" outlineLevel="0" collapsed="false">
      <c r="B20" s="7" t="s">
        <v>696</v>
      </c>
      <c r="C20" s="83" t="s">
        <v>697</v>
      </c>
      <c r="D20" s="106" t="n">
        <v>0.11069053480013</v>
      </c>
      <c r="F20" s="5" t="s">
        <v>698</v>
      </c>
    </row>
    <row r="22" customFormat="false" ht="15" hidden="false" customHeight="true" outlineLevel="0" collapsed="false">
      <c r="B22" s="6" t="s">
        <v>699</v>
      </c>
      <c r="C22" s="6"/>
      <c r="D22" s="6"/>
      <c r="E22" s="6"/>
      <c r="F22" s="6"/>
      <c r="G22" s="6"/>
    </row>
    <row r="23" customFormat="false" ht="15" hidden="false" customHeight="true" outlineLevel="0" collapsed="false">
      <c r="B23" s="3" t="s">
        <v>700</v>
      </c>
      <c r="C23" s="3" t="s">
        <v>701</v>
      </c>
      <c r="D23" s="3" t="s">
        <v>702</v>
      </c>
      <c r="E23" s="3" t="s">
        <v>703</v>
      </c>
      <c r="F23" s="3" t="s">
        <v>704</v>
      </c>
    </row>
    <row r="24" customFormat="false" ht="54" hidden="false" customHeight="true" outlineLevel="0" collapsed="false">
      <c r="B24" s="7" t="s">
        <v>705</v>
      </c>
      <c r="C24" s="107" t="n">
        <v>35</v>
      </c>
      <c r="D24" s="108" t="n">
        <v>0.00161979234122955</v>
      </c>
      <c r="E24" s="109" t="n">
        <v>0.000247844700108451</v>
      </c>
      <c r="F24" s="110" t="s">
        <v>706</v>
      </c>
    </row>
    <row r="25" customFormat="false" ht="27.75" hidden="false" customHeight="true" outlineLevel="0" collapsed="false">
      <c r="B25" s="7" t="s">
        <v>707</v>
      </c>
      <c r="C25" s="107" t="n">
        <v>35</v>
      </c>
      <c r="D25" s="108" t="n">
        <v>0.000176894385072846</v>
      </c>
      <c r="E25" s="109" t="n">
        <v>7.90799046342009E-006</v>
      </c>
      <c r="F25" s="110" t="s">
        <v>708</v>
      </c>
    </row>
    <row r="26" customFormat="false" ht="54" hidden="false" customHeight="true" outlineLevel="0" collapsed="false">
      <c r="B26" s="7" t="s">
        <v>709</v>
      </c>
      <c r="C26" s="107" t="n">
        <v>35</v>
      </c>
      <c r="D26" s="108" t="n">
        <v>0.00022154588772566</v>
      </c>
      <c r="E26" s="109" t="n">
        <v>6.04664769325314E-005</v>
      </c>
      <c r="F26" s="110" t="s">
        <v>710</v>
      </c>
    </row>
    <row r="27" customFormat="false" ht="54" hidden="false" customHeight="true" outlineLevel="0" collapsed="false">
      <c r="B27" s="7" t="s">
        <v>711</v>
      </c>
      <c r="C27" s="107" t="n">
        <v>35</v>
      </c>
      <c r="D27" s="108" t="n">
        <v>7.105427357601E-015</v>
      </c>
      <c r="E27" s="109" t="n">
        <v>-1.81442162881597E-015</v>
      </c>
      <c r="F27" s="110" t="s">
        <v>712</v>
      </c>
    </row>
    <row r="28" customFormat="false" ht="27.75" hidden="false" customHeight="true" outlineLevel="0" collapsed="false">
      <c r="B28" s="7" t="s">
        <v>713</v>
      </c>
      <c r="C28" s="107" t="n">
        <v>35</v>
      </c>
      <c r="D28" s="108" t="n">
        <v>2.83384427035571E-014</v>
      </c>
      <c r="E28" s="109" t="n">
        <v>-1.32750953087322E-015</v>
      </c>
      <c r="F28" s="110" t="s">
        <v>714</v>
      </c>
    </row>
    <row r="29" customFormat="false" ht="31.5" hidden="false" customHeight="true" outlineLevel="0" collapsed="false">
      <c r="B29" s="111" t="s">
        <v>715</v>
      </c>
      <c r="C29" s="111"/>
      <c r="D29" s="111"/>
      <c r="E29" s="111"/>
      <c r="F29" s="111"/>
      <c r="G29" s="111"/>
    </row>
    <row r="31" customFormat="false" ht="15" hidden="false" customHeight="true" outlineLevel="0" collapsed="false">
      <c r="B31" s="6" t="s">
        <v>716</v>
      </c>
      <c r="C31" s="6"/>
      <c r="D31" s="6"/>
      <c r="E31" s="6"/>
      <c r="F31" s="6"/>
      <c r="G31" s="6"/>
    </row>
    <row r="32" customFormat="false" ht="15" hidden="false" customHeight="true" outlineLevel="0" collapsed="false">
      <c r="B32" s="3" t="s">
        <v>717</v>
      </c>
      <c r="C32" s="3" t="s">
        <v>718</v>
      </c>
      <c r="D32" s="3" t="s">
        <v>719</v>
      </c>
      <c r="F32" s="3" t="s">
        <v>720</v>
      </c>
    </row>
    <row r="33" customFormat="false" ht="57.75" hidden="false" customHeight="true" outlineLevel="0" collapsed="false">
      <c r="B33" s="103" t="s">
        <v>721</v>
      </c>
      <c r="C33" s="103" t="s">
        <v>722</v>
      </c>
      <c r="D33" s="112" t="s">
        <v>723</v>
      </c>
      <c r="E33" s="112"/>
      <c r="F33" s="110" t="s">
        <v>724</v>
      </c>
    </row>
    <row r="34" customFormat="false" ht="57.75" hidden="false" customHeight="true" outlineLevel="0" collapsed="false">
      <c r="B34" s="103" t="s">
        <v>725</v>
      </c>
      <c r="C34" s="103" t="s">
        <v>726</v>
      </c>
      <c r="D34" s="112" t="s">
        <v>727</v>
      </c>
      <c r="E34" s="112"/>
      <c r="F34" s="110" t="s">
        <v>728</v>
      </c>
    </row>
    <row r="35" customFormat="false" ht="57.75" hidden="false" customHeight="true" outlineLevel="0" collapsed="false">
      <c r="B35" s="103" t="s">
        <v>729</v>
      </c>
      <c r="C35" s="103" t="s">
        <v>730</v>
      </c>
      <c r="D35" s="112" t="s">
        <v>731</v>
      </c>
      <c r="E35" s="112"/>
      <c r="F35" s="110" t="s">
        <v>732</v>
      </c>
    </row>
    <row r="36" customFormat="false" ht="57.75" hidden="false" customHeight="true" outlineLevel="0" collapsed="false">
      <c r="B36" s="103" t="s">
        <v>733</v>
      </c>
      <c r="C36" s="103" t="s">
        <v>734</v>
      </c>
      <c r="D36" s="112" t="s">
        <v>735</v>
      </c>
      <c r="E36" s="112"/>
      <c r="F36" s="110" t="s">
        <v>736</v>
      </c>
    </row>
    <row r="37" customFormat="false" ht="57.75" hidden="false" customHeight="true" outlineLevel="0" collapsed="false">
      <c r="B37" s="103" t="s">
        <v>737</v>
      </c>
      <c r="C37" s="103" t="s">
        <v>738</v>
      </c>
      <c r="D37" s="112" t="s">
        <v>739</v>
      </c>
      <c r="E37" s="112"/>
      <c r="F37" s="110" t="s">
        <v>740</v>
      </c>
    </row>
    <row r="38" customFormat="false" ht="57.75" hidden="false" customHeight="true" outlineLevel="0" collapsed="false">
      <c r="B38" s="103" t="s">
        <v>741</v>
      </c>
      <c r="C38" s="103" t="s">
        <v>742</v>
      </c>
      <c r="D38" s="112" t="s">
        <v>743</v>
      </c>
      <c r="E38" s="112"/>
      <c r="F38" s="110" t="s">
        <v>744</v>
      </c>
    </row>
    <row r="39" customFormat="false" ht="57.75" hidden="false" customHeight="true" outlineLevel="0" collapsed="false">
      <c r="B39" s="103" t="s">
        <v>745</v>
      </c>
      <c r="C39" s="103" t="s">
        <v>746</v>
      </c>
      <c r="D39" s="112" t="s">
        <v>747</v>
      </c>
      <c r="E39" s="112"/>
      <c r="F39" s="110" t="s">
        <v>748</v>
      </c>
    </row>
    <row r="40" customFormat="false" ht="57.75" hidden="false" customHeight="true" outlineLevel="0" collapsed="false">
      <c r="B40" s="103" t="s">
        <v>749</v>
      </c>
      <c r="C40" s="103" t="s">
        <v>750</v>
      </c>
      <c r="D40" s="112" t="s">
        <v>751</v>
      </c>
      <c r="E40" s="112"/>
      <c r="F40" s="110" t="s">
        <v>752</v>
      </c>
    </row>
    <row r="41" customFormat="false" ht="57.75" hidden="false" customHeight="true" outlineLevel="0" collapsed="false">
      <c r="B41" s="103" t="s">
        <v>753</v>
      </c>
      <c r="C41" s="103" t="s">
        <v>453</v>
      </c>
      <c r="D41" s="112" t="s">
        <v>754</v>
      </c>
      <c r="E41" s="112"/>
      <c r="F41" s="110" t="s">
        <v>755</v>
      </c>
    </row>
    <row r="42" customFormat="false" ht="57.75" hidden="false" customHeight="true" outlineLevel="0" collapsed="false">
      <c r="B42" s="103" t="s">
        <v>756</v>
      </c>
      <c r="C42" s="103" t="s">
        <v>453</v>
      </c>
      <c r="D42" s="112" t="s">
        <v>757</v>
      </c>
      <c r="E42" s="112"/>
      <c r="F42" s="110" t="s">
        <v>758</v>
      </c>
    </row>
    <row r="44" customFormat="false" ht="15" hidden="false" customHeight="true" outlineLevel="0" collapsed="false">
      <c r="B44" s="6" t="s">
        <v>759</v>
      </c>
      <c r="C44" s="6"/>
      <c r="D44" s="6"/>
      <c r="E44" s="6"/>
      <c r="F44" s="6"/>
      <c r="G44" s="6"/>
    </row>
    <row r="45" customFormat="false" ht="15" hidden="false" customHeight="true" outlineLevel="0" collapsed="false">
      <c r="B45" s="3" t="s">
        <v>760</v>
      </c>
      <c r="C45" s="3" t="s">
        <v>761</v>
      </c>
      <c r="D45" s="3" t="s">
        <v>762</v>
      </c>
    </row>
    <row r="46" customFormat="false" ht="43.5" hidden="false" customHeight="true" outlineLevel="0" collapsed="false">
      <c r="B46" s="103" t="s">
        <v>763</v>
      </c>
      <c r="C46" s="103" t="s">
        <v>764</v>
      </c>
      <c r="D46" s="112" t="s">
        <v>765</v>
      </c>
      <c r="E46" s="112"/>
      <c r="F46" s="112"/>
      <c r="G46" s="112"/>
    </row>
    <row r="47" customFormat="false" ht="43.5" hidden="false" customHeight="true" outlineLevel="0" collapsed="false">
      <c r="B47" s="103" t="s">
        <v>766</v>
      </c>
      <c r="C47" s="103" t="s">
        <v>767</v>
      </c>
      <c r="D47" s="112" t="s">
        <v>768</v>
      </c>
      <c r="E47" s="112"/>
      <c r="F47" s="112"/>
      <c r="G47" s="112"/>
    </row>
    <row r="48" customFormat="false" ht="43.5" hidden="false" customHeight="true" outlineLevel="0" collapsed="false">
      <c r="B48" s="103" t="s">
        <v>769</v>
      </c>
      <c r="C48" s="103" t="s">
        <v>770</v>
      </c>
      <c r="D48" s="112" t="s">
        <v>771</v>
      </c>
      <c r="E48" s="112"/>
      <c r="F48" s="112"/>
      <c r="G48" s="112"/>
    </row>
    <row r="49" customFormat="false" ht="43.5" hidden="false" customHeight="true" outlineLevel="0" collapsed="false">
      <c r="B49" s="103" t="s">
        <v>772</v>
      </c>
      <c r="C49" s="103" t="s">
        <v>773</v>
      </c>
      <c r="D49" s="112" t="s">
        <v>774</v>
      </c>
      <c r="E49" s="112"/>
      <c r="F49" s="112"/>
      <c r="G49" s="112"/>
    </row>
    <row r="50" customFormat="false" ht="43.5" hidden="false" customHeight="true" outlineLevel="0" collapsed="false">
      <c r="B50" s="103" t="s">
        <v>775</v>
      </c>
      <c r="C50" s="103" t="s">
        <v>776</v>
      </c>
      <c r="D50" s="112" t="s">
        <v>777</v>
      </c>
      <c r="E50" s="112"/>
      <c r="F50" s="112"/>
      <c r="G50" s="112"/>
    </row>
    <row r="51" customFormat="false" ht="43.5" hidden="false" customHeight="true" outlineLevel="0" collapsed="false">
      <c r="B51" s="103" t="s">
        <v>778</v>
      </c>
      <c r="C51" s="103" t="s">
        <v>779</v>
      </c>
      <c r="D51" s="112" t="s">
        <v>780</v>
      </c>
      <c r="E51" s="112"/>
      <c r="F51" s="112"/>
      <c r="G51" s="112"/>
    </row>
    <row r="52" customFormat="false" ht="43.5" hidden="false" customHeight="true" outlineLevel="0" collapsed="false">
      <c r="B52" s="103" t="s">
        <v>781</v>
      </c>
      <c r="C52" s="103" t="s">
        <v>782</v>
      </c>
      <c r="D52" s="112" t="s">
        <v>783</v>
      </c>
      <c r="E52" s="112"/>
      <c r="F52" s="112"/>
      <c r="G52" s="112"/>
    </row>
    <row r="53" customFormat="false" ht="43.5" hidden="false" customHeight="true" outlineLevel="0" collapsed="false">
      <c r="B53" s="103" t="s">
        <v>784</v>
      </c>
      <c r="C53" s="103" t="s">
        <v>785</v>
      </c>
      <c r="D53" s="112" t="s">
        <v>786</v>
      </c>
      <c r="E53" s="112"/>
      <c r="F53" s="112"/>
      <c r="G53" s="112"/>
    </row>
    <row r="54" customFormat="false" ht="43.5" hidden="false" customHeight="true" outlineLevel="0" collapsed="false">
      <c r="B54" s="103" t="s">
        <v>787</v>
      </c>
      <c r="C54" s="103" t="s">
        <v>788</v>
      </c>
      <c r="D54" s="112" t="s">
        <v>789</v>
      </c>
      <c r="E54" s="112"/>
      <c r="F54" s="112"/>
      <c r="G54" s="112"/>
    </row>
    <row r="55" customFormat="false" ht="43.5" hidden="false" customHeight="true" outlineLevel="0" collapsed="false">
      <c r="B55" s="103" t="s">
        <v>790</v>
      </c>
      <c r="C55" s="103" t="s">
        <v>764</v>
      </c>
      <c r="D55" s="112" t="s">
        <v>791</v>
      </c>
      <c r="E55" s="112"/>
      <c r="F55" s="112"/>
      <c r="G55" s="112"/>
    </row>
    <row r="56" customFormat="false" ht="43.5" hidden="false" customHeight="true" outlineLevel="0" collapsed="false">
      <c r="B56" s="103" t="s">
        <v>792</v>
      </c>
      <c r="C56" s="103" t="s">
        <v>793</v>
      </c>
      <c r="D56" s="112" t="s">
        <v>794</v>
      </c>
      <c r="E56" s="112"/>
      <c r="F56" s="112"/>
      <c r="G56" s="112"/>
    </row>
    <row r="57" customFormat="false" ht="43.5" hidden="false" customHeight="true" outlineLevel="0" collapsed="false">
      <c r="B57" s="103" t="s">
        <v>795</v>
      </c>
      <c r="C57" s="103" t="s">
        <v>796</v>
      </c>
      <c r="D57" s="112" t="s">
        <v>797</v>
      </c>
      <c r="E57" s="112"/>
      <c r="F57" s="112"/>
      <c r="G57" s="112"/>
    </row>
    <row r="59" customFormat="false" ht="30" hidden="false" customHeight="true" outlineLevel="0" collapsed="false">
      <c r="B59" s="92" t="s">
        <v>798</v>
      </c>
      <c r="C59" s="92"/>
      <c r="D59" s="92"/>
      <c r="E59" s="92"/>
      <c r="F59" s="92"/>
      <c r="G59" s="92"/>
    </row>
    <row r="61" customFormat="false" ht="15" hidden="false" customHeight="true" outlineLevel="0" collapsed="false">
      <c r="B61" s="6" t="s">
        <v>799</v>
      </c>
      <c r="C61" s="113"/>
      <c r="D61" s="113"/>
      <c r="E61" s="113"/>
      <c r="F61" s="113"/>
    </row>
    <row r="62" customFormat="false" ht="162" hidden="false" customHeight="true" outlineLevel="0" collapsed="false">
      <c r="B62" s="114" t="s">
        <v>800</v>
      </c>
    </row>
    <row r="64" customFormat="false" ht="15" hidden="false" customHeight="true" outlineLevel="0" collapsed="false">
      <c r="B64" s="3" t="s">
        <v>676</v>
      </c>
      <c r="C64" s="3" t="s">
        <v>801</v>
      </c>
      <c r="D64" s="3" t="s">
        <v>802</v>
      </c>
      <c r="E64" s="3" t="s">
        <v>679</v>
      </c>
      <c r="F64" s="3" t="s">
        <v>680</v>
      </c>
    </row>
    <row r="65" customFormat="false" ht="15" hidden="false" customHeight="true" outlineLevel="0" collapsed="false">
      <c r="B65" s="103" t="s">
        <v>681</v>
      </c>
      <c r="C65" s="115" t="n">
        <v>0.110338142505987</v>
      </c>
      <c r="D65" s="115" t="n">
        <v>0.111197838959669</v>
      </c>
      <c r="E65" s="115" t="n">
        <f aca="false">D65-C65</f>
        <v>0.000859696453682002</v>
      </c>
      <c r="F65" s="103" t="s">
        <v>803</v>
      </c>
    </row>
    <row r="66" customFormat="false" ht="15" hidden="false" customHeight="true" outlineLevel="0" collapsed="false">
      <c r="B66" s="103" t="s">
        <v>683</v>
      </c>
      <c r="C66" s="116" t="n">
        <v>2.08059146767401</v>
      </c>
      <c r="D66" s="116" t="n">
        <v>2.09189420505759</v>
      </c>
      <c r="E66" s="116" t="n">
        <f aca="false">D66-C66</f>
        <v>0.0113027373835801</v>
      </c>
      <c r="F66" s="103"/>
    </row>
    <row r="67" customFormat="false" ht="15" hidden="false" customHeight="true" outlineLevel="0" collapsed="false">
      <c r="B67" s="103" t="s">
        <v>684</v>
      </c>
      <c r="C67" s="115" t="n">
        <v>0.0859023584937492</v>
      </c>
      <c r="D67" s="115" t="n">
        <v>0.0840229476118282</v>
      </c>
      <c r="E67" s="115" t="n">
        <f aca="false">D67-C67</f>
        <v>-0.00187941088192101</v>
      </c>
      <c r="F67" s="103" t="s">
        <v>804</v>
      </c>
    </row>
    <row r="68" customFormat="false" ht="15" hidden="false" customHeight="true" outlineLevel="0" collapsed="false">
      <c r="B68" s="103" t="s">
        <v>685</v>
      </c>
      <c r="C68" s="116" t="n">
        <v>1.78047317413921</v>
      </c>
      <c r="D68" s="116" t="n">
        <v>1.78951536404607</v>
      </c>
      <c r="E68" s="116" t="n">
        <f aca="false">D68-C68</f>
        <v>0.00904218990686001</v>
      </c>
      <c r="F68" s="103" t="s">
        <v>805</v>
      </c>
    </row>
    <row r="69" customFormat="false" ht="15" hidden="false" customHeight="true" outlineLevel="0" collapsed="false">
      <c r="B69" s="103" t="s">
        <v>686</v>
      </c>
      <c r="C69" s="115" t="n">
        <v>0.175956196046734</v>
      </c>
      <c r="D69" s="115" t="n">
        <v>0.176565821714755</v>
      </c>
      <c r="E69" s="115" t="n">
        <f aca="false">D69-C69</f>
        <v>0.000609625668021002</v>
      </c>
      <c r="F69" s="103"/>
    </row>
    <row r="70" customFormat="false" ht="15" hidden="false" customHeight="true" outlineLevel="0" collapsed="false">
      <c r="B70" s="103" t="s">
        <v>687</v>
      </c>
      <c r="C70" s="115" t="n">
        <v>0.146500447762224</v>
      </c>
      <c r="D70" s="115" t="n">
        <v>0.143417369845563</v>
      </c>
      <c r="E70" s="115" t="n">
        <f aca="false">D70-C70</f>
        <v>-0.00308307791666101</v>
      </c>
      <c r="F70" s="103"/>
    </row>
    <row r="71" customFormat="false" ht="15" hidden="false" customHeight="true" outlineLevel="0" collapsed="false">
      <c r="B71" s="103" t="s">
        <v>688</v>
      </c>
      <c r="C71" s="115" t="n">
        <v>-0.00796942279900314</v>
      </c>
      <c r="D71" s="115" t="n">
        <v>-0.00613819808039407</v>
      </c>
      <c r="E71" s="115" t="n">
        <f aca="false">D71-C71</f>
        <v>0.00183122471860907</v>
      </c>
      <c r="F71" s="103"/>
    </row>
    <row r="72" customFormat="false" ht="15" hidden="false" customHeight="true" outlineLevel="0" collapsed="false">
      <c r="B72" s="103" t="s">
        <v>689</v>
      </c>
      <c r="C72" s="115" t="n">
        <v>-0.024512061272845</v>
      </c>
      <c r="D72" s="115" t="n">
        <v>-0.0214248340977719</v>
      </c>
      <c r="E72" s="115" t="n">
        <f aca="false">D72-C72</f>
        <v>0.0030872271750731</v>
      </c>
      <c r="F72" s="103"/>
    </row>
    <row r="73" customFormat="false" ht="23.25" hidden="false" customHeight="true" outlineLevel="0" collapsed="false">
      <c r="B73" s="103" t="s">
        <v>693</v>
      </c>
      <c r="C73" s="117" t="n">
        <v>32.5367420852694</v>
      </c>
      <c r="D73" s="117" t="n">
        <v>32.5367420852694</v>
      </c>
      <c r="E73" s="117" t="n">
        <f aca="false">D73-C73</f>
        <v>0</v>
      </c>
      <c r="F73" s="103" t="s">
        <v>806</v>
      </c>
    </row>
    <row r="74" customFormat="false" ht="15" hidden="false" customHeight="true" outlineLevel="0" collapsed="false">
      <c r="B74" s="103" t="s">
        <v>695</v>
      </c>
      <c r="C74" s="103" t="s">
        <v>467</v>
      </c>
      <c r="D74" s="103" t="s">
        <v>467</v>
      </c>
      <c r="E74" s="103"/>
      <c r="F74" s="103" t="s">
        <v>807</v>
      </c>
    </row>
    <row r="76" customFormat="false" ht="15" hidden="false" customHeight="true" outlineLevel="0" collapsed="false">
      <c r="B76" s="3" t="s">
        <v>717</v>
      </c>
      <c r="C76" s="3" t="s">
        <v>718</v>
      </c>
      <c r="D76" s="3" t="s">
        <v>719</v>
      </c>
      <c r="E76" s="3"/>
      <c r="F76" s="3" t="s">
        <v>720</v>
      </c>
    </row>
    <row r="77" customFormat="false" ht="34.5" hidden="false" customHeight="true" outlineLevel="0" collapsed="false">
      <c r="B77" s="103" t="s">
        <v>808</v>
      </c>
      <c r="C77" s="103" t="s">
        <v>809</v>
      </c>
      <c r="D77" s="103" t="s">
        <v>810</v>
      </c>
      <c r="E77" s="103"/>
      <c r="F77" s="103" t="s">
        <v>811</v>
      </c>
    </row>
    <row r="78" customFormat="false" ht="23.25" hidden="false" customHeight="true" outlineLevel="0" collapsed="false">
      <c r="B78" s="103" t="s">
        <v>812</v>
      </c>
      <c r="C78" s="103" t="s">
        <v>813</v>
      </c>
      <c r="D78" s="103" t="s">
        <v>814</v>
      </c>
      <c r="E78" s="103"/>
      <c r="F78" s="103" t="s">
        <v>815</v>
      </c>
    </row>
    <row r="79" customFormat="false" ht="34.5" hidden="false" customHeight="true" outlineLevel="0" collapsed="false">
      <c r="B79" s="103" t="s">
        <v>816</v>
      </c>
      <c r="C79" s="103" t="s">
        <v>817</v>
      </c>
      <c r="D79" s="103" t="s">
        <v>818</v>
      </c>
      <c r="E79" s="103"/>
      <c r="F79" s="103" t="s">
        <v>819</v>
      </c>
    </row>
    <row r="80" customFormat="false" ht="23.25" hidden="false" customHeight="true" outlineLevel="0" collapsed="false">
      <c r="B80" s="103" t="s">
        <v>820</v>
      </c>
      <c r="C80" s="103" t="s">
        <v>821</v>
      </c>
      <c r="D80" s="103" t="s">
        <v>822</v>
      </c>
      <c r="E80" s="103"/>
      <c r="F80" s="103" t="s">
        <v>823</v>
      </c>
    </row>
    <row r="81" customFormat="false" ht="34.5" hidden="false" customHeight="true" outlineLevel="0" collapsed="false">
      <c r="B81" s="103" t="s">
        <v>824</v>
      </c>
      <c r="C81" s="103" t="s">
        <v>453</v>
      </c>
      <c r="D81" s="103" t="s">
        <v>825</v>
      </c>
      <c r="E81" s="103"/>
      <c r="F81" s="103" t="s">
        <v>826</v>
      </c>
    </row>
    <row r="82" customFormat="false" ht="34.5" hidden="false" customHeight="true" outlineLevel="0" collapsed="false">
      <c r="B82" s="103" t="s">
        <v>827</v>
      </c>
      <c r="C82" s="103" t="s">
        <v>828</v>
      </c>
      <c r="D82" s="103" t="s">
        <v>829</v>
      </c>
      <c r="E82" s="103"/>
      <c r="F82" s="103" t="s">
        <v>830</v>
      </c>
    </row>
    <row r="83" customFormat="false" ht="15" hidden="false" customHeight="true" outlineLevel="0" collapsed="false">
      <c r="B83" s="103" t="s">
        <v>831</v>
      </c>
      <c r="C83" s="103" t="s">
        <v>453</v>
      </c>
      <c r="D83" s="103" t="s">
        <v>832</v>
      </c>
      <c r="E83" s="103"/>
      <c r="F83" s="103" t="s">
        <v>833</v>
      </c>
    </row>
    <row r="85" customFormat="false" ht="135.75" hidden="false" customHeight="true" outlineLevel="0" collapsed="false">
      <c r="B85" s="114" t="s">
        <v>834</v>
      </c>
    </row>
  </sheetData>
  <mergeCells count="24">
    <mergeCell ref="B29:G29"/>
    <mergeCell ref="D33:E33"/>
    <mergeCell ref="D34:E34"/>
    <mergeCell ref="D35:E35"/>
    <mergeCell ref="D36:E36"/>
    <mergeCell ref="D37:E37"/>
    <mergeCell ref="D38:E38"/>
    <mergeCell ref="D39:E39"/>
    <mergeCell ref="D40:E40"/>
    <mergeCell ref="D41:E41"/>
    <mergeCell ref="D42:E42"/>
    <mergeCell ref="D46:G46"/>
    <mergeCell ref="D47:G47"/>
    <mergeCell ref="D48:G48"/>
    <mergeCell ref="D49:G49"/>
    <mergeCell ref="D50:G50"/>
    <mergeCell ref="D51:G51"/>
    <mergeCell ref="D52:G52"/>
    <mergeCell ref="D53:G53"/>
    <mergeCell ref="D54:G54"/>
    <mergeCell ref="D55:G55"/>
    <mergeCell ref="D56:G56"/>
    <mergeCell ref="D57:G57"/>
    <mergeCell ref="B59:G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D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22"/>
    <col collapsed="false" customWidth="true" hidden="false" outlineLevel="0" max="4" min="4" style="1" width="110"/>
  </cols>
  <sheetData>
    <row r="1" customFormat="false" ht="17.25" hidden="false" customHeight="true" outlineLevel="0" collapsed="false">
      <c r="B1" s="118" t="s">
        <v>835</v>
      </c>
    </row>
    <row r="2" customFormat="false" ht="15" hidden="false" customHeight="true" outlineLevel="0" collapsed="false">
      <c r="B2" s="119" t="s">
        <v>836</v>
      </c>
    </row>
    <row r="4" customFormat="false" ht="15" hidden="false" customHeight="true" outlineLevel="0" collapsed="false">
      <c r="B4" s="6" t="s">
        <v>837</v>
      </c>
      <c r="C4" s="113"/>
      <c r="D4" s="113"/>
    </row>
    <row r="5" customFormat="false" ht="78" hidden="false" customHeight="true" outlineLevel="0" collapsed="false">
      <c r="B5" s="120" t="s">
        <v>838</v>
      </c>
      <c r="C5" s="120"/>
      <c r="D5" s="120"/>
    </row>
    <row r="7" customFormat="false" ht="15" hidden="false" customHeight="true" outlineLevel="0" collapsed="false">
      <c r="B7" s="6" t="s">
        <v>839</v>
      </c>
      <c r="C7" s="113"/>
      <c r="D7" s="113"/>
    </row>
    <row r="8" customFormat="false" ht="15" hidden="false" customHeight="true" outlineLevel="0" collapsed="false">
      <c r="B8" s="121" t="s">
        <v>840</v>
      </c>
      <c r="C8" s="122" t="n">
        <f aca="false">'1_Transaction_Summary'!C6</f>
        <v>637.39</v>
      </c>
    </row>
    <row r="9" customFormat="false" ht="15" hidden="false" customHeight="true" outlineLevel="0" collapsed="false">
      <c r="B9" s="121" t="s">
        <v>841</v>
      </c>
      <c r="C9" s="123" t="n">
        <f aca="false">'1_Transaction_Summary'!C19</f>
        <v>116840.946885395</v>
      </c>
    </row>
    <row r="10" customFormat="false" ht="15" hidden="false" customHeight="true" outlineLevel="0" collapsed="false">
      <c r="B10" s="121" t="s">
        <v>842</v>
      </c>
      <c r="C10" s="123" t="n">
        <f aca="false">'1_Transaction_Summary'!C25</f>
        <v>106804.946885395</v>
      </c>
    </row>
    <row r="11" customFormat="false" ht="15" hidden="false" customHeight="true" outlineLevel="0" collapsed="false">
      <c r="B11" s="121" t="s">
        <v>115</v>
      </c>
      <c r="C11" s="124" t="n">
        <f aca="false">'1_Transaction_Summary'!C28</f>
        <v>32.5367420852693</v>
      </c>
    </row>
    <row r="12" customFormat="false" ht="15" hidden="false" customHeight="true" outlineLevel="0" collapsed="false">
      <c r="B12" s="121" t="s">
        <v>843</v>
      </c>
      <c r="C12" s="124" t="n">
        <f aca="false">'1_Transaction_Summary'!C32</f>
        <v>34.2073023075711</v>
      </c>
    </row>
    <row r="13" customFormat="false" ht="15" hidden="false" customHeight="true" outlineLevel="0" collapsed="false">
      <c r="B13" s="121" t="s">
        <v>844</v>
      </c>
      <c r="C13" s="123" t="n">
        <f aca="false">'1_Transaction_Summary'!C47</f>
        <v>19700</v>
      </c>
    </row>
    <row r="14" customFormat="false" ht="15" hidden="false" customHeight="true" outlineLevel="0" collapsed="false">
      <c r="B14" s="121" t="s">
        <v>845</v>
      </c>
      <c r="C14" s="124" t="n">
        <f aca="false">'1_Transaction_Summary'!E47</f>
        <v>6.00134954205438</v>
      </c>
    </row>
    <row r="15" customFormat="false" ht="15" hidden="false" customHeight="true" outlineLevel="0" collapsed="false">
      <c r="B15" s="121" t="s">
        <v>846</v>
      </c>
      <c r="C15" s="123" t="n">
        <f aca="false">'1_Transaction_Summary'!C50</f>
        <v>59453.9085404371</v>
      </c>
    </row>
    <row r="16" customFormat="false" ht="15" hidden="false" customHeight="true" outlineLevel="0" collapsed="false">
      <c r="B16" s="121" t="s">
        <v>847</v>
      </c>
      <c r="C16" s="123" t="n">
        <f aca="false">'1_Transaction_Summary'!C49</f>
        <v>31547.0556590566</v>
      </c>
    </row>
    <row r="17" customFormat="false" ht="15" hidden="false" customHeight="true" outlineLevel="0" collapsed="false">
      <c r="B17" s="121" t="s">
        <v>848</v>
      </c>
      <c r="C17" s="125" t="n">
        <f aca="false">'1_Transaction_Summary'!C54</f>
        <v>0.773153939888329</v>
      </c>
    </row>
    <row r="18" customFormat="false" ht="15" hidden="false" customHeight="true" outlineLevel="0" collapsed="false">
      <c r="B18" s="121" t="s">
        <v>849</v>
      </c>
      <c r="C18" s="123" t="n">
        <f aca="false">'5_Returns_Sensitivities'!C5</f>
        <v>8418.422305688</v>
      </c>
    </row>
    <row r="19" customFormat="false" ht="15" hidden="false" customHeight="true" outlineLevel="0" collapsed="false">
      <c r="B19" s="121" t="s">
        <v>78</v>
      </c>
      <c r="C19" s="124" t="n">
        <f aca="false">'5_Returns_Sensitivities'!C6</f>
        <v>22</v>
      </c>
    </row>
    <row r="20" customFormat="false" ht="15" hidden="false" customHeight="true" outlineLevel="0" collapsed="false">
      <c r="B20" s="121" t="s">
        <v>850</v>
      </c>
      <c r="C20" s="123" t="n">
        <f aca="false">'5_Returns_Sensitivities'!C7</f>
        <v>185205.290725136</v>
      </c>
    </row>
    <row r="21" customFormat="false" ht="15" hidden="false" customHeight="true" outlineLevel="0" collapsed="false">
      <c r="B21" s="121" t="s">
        <v>79</v>
      </c>
      <c r="C21" s="126" t="n">
        <f aca="false">'5_Returns_Sensitivities'!C17</f>
        <v>2.09189420505759</v>
      </c>
    </row>
    <row r="22" customFormat="false" ht="15" hidden="false" customHeight="true" outlineLevel="0" collapsed="false">
      <c r="B22" s="121" t="s">
        <v>80</v>
      </c>
      <c r="C22" s="125" t="n">
        <f aca="false">'5_Returns_Sensitivities'!C19</f>
        <v>0.111197838959669</v>
      </c>
    </row>
    <row r="23" customFormat="false" ht="15" hidden="false" customHeight="true" outlineLevel="0" collapsed="false">
      <c r="B23" s="121" t="s">
        <v>851</v>
      </c>
      <c r="C23" s="126" t="n">
        <f aca="false">'5_Returns_Sensitivities'!C31</f>
        <v>1.78951536404607</v>
      </c>
    </row>
    <row r="24" customFormat="false" ht="15" hidden="false" customHeight="true" outlineLevel="0" collapsed="false">
      <c r="B24" s="121" t="s">
        <v>852</v>
      </c>
      <c r="C24" s="125" t="n">
        <f aca="false">'5_Returns_Sensitivities'!C32</f>
        <v>0.0840229476118282</v>
      </c>
    </row>
    <row r="25" customFormat="false" ht="15" hidden="false" customHeight="true" outlineLevel="0" collapsed="false">
      <c r="B25" s="121" t="s">
        <v>853</v>
      </c>
      <c r="C25" s="124" t="n">
        <f aca="false">'4_Debt_Schedule'!F66</f>
        <v>2.95320119923702</v>
      </c>
    </row>
    <row r="26" customFormat="false" ht="15" hidden="false" customHeight="true" outlineLevel="0" collapsed="false">
      <c r="B26" s="121" t="s">
        <v>854</v>
      </c>
      <c r="C26" s="124" t="n">
        <f aca="false">'4_Debt_Schedule'!F65</f>
        <v>4.03518481744353</v>
      </c>
    </row>
    <row r="27" customFormat="false" ht="15" hidden="false" customHeight="true" outlineLevel="0" collapsed="false">
      <c r="B27" s="121" t="s">
        <v>855</v>
      </c>
      <c r="C27" s="124" t="n">
        <f aca="false">'4_Debt_Schedule'!H65</f>
        <v>1.61797163709694</v>
      </c>
    </row>
    <row r="28" customFormat="false" ht="15" hidden="false" customHeight="true" outlineLevel="0" collapsed="false">
      <c r="B28" s="121" t="s">
        <v>695</v>
      </c>
      <c r="C28" s="127" t="str">
        <f aca="false">'0_Dashboard_Toggles'!D49</f>
        <v>OK</v>
      </c>
    </row>
    <row r="30" customFormat="false" ht="15" hidden="false" customHeight="true" outlineLevel="0" collapsed="false">
      <c r="B30" s="6" t="s">
        <v>856</v>
      </c>
      <c r="C30" s="113"/>
      <c r="D30" s="113"/>
    </row>
    <row r="31" customFormat="false" ht="15" hidden="false" customHeight="true" outlineLevel="0" collapsed="false">
      <c r="B31" s="128" t="s">
        <v>857</v>
      </c>
      <c r="C31" s="128" t="s">
        <v>858</v>
      </c>
      <c r="D31" s="128" t="s">
        <v>859</v>
      </c>
    </row>
    <row r="32" customFormat="false" ht="84" hidden="false" customHeight="true" outlineLevel="0" collapsed="false">
      <c r="B32" s="129" t="s">
        <v>860</v>
      </c>
      <c r="C32" s="130" t="s">
        <v>861</v>
      </c>
      <c r="D32" s="130" t="s">
        <v>862</v>
      </c>
    </row>
    <row r="33" customFormat="false" ht="69.75" hidden="false" customHeight="true" outlineLevel="0" collapsed="false">
      <c r="B33" s="129" t="s">
        <v>863</v>
      </c>
      <c r="C33" s="130" t="s">
        <v>864</v>
      </c>
      <c r="D33" s="130" t="s">
        <v>865</v>
      </c>
    </row>
    <row r="34" customFormat="false" ht="69.75" hidden="false" customHeight="true" outlineLevel="0" collapsed="false">
      <c r="B34" s="129" t="s">
        <v>866</v>
      </c>
      <c r="C34" s="130" t="s">
        <v>867</v>
      </c>
      <c r="D34" s="130" t="s">
        <v>868</v>
      </c>
    </row>
    <row r="35" customFormat="false" ht="97.5" hidden="false" customHeight="true" outlineLevel="0" collapsed="false">
      <c r="B35" s="129" t="s">
        <v>869</v>
      </c>
      <c r="C35" s="130" t="s">
        <v>870</v>
      </c>
      <c r="D35" s="130" t="s">
        <v>871</v>
      </c>
    </row>
    <row r="36" customFormat="false" ht="84" hidden="false" customHeight="true" outlineLevel="0" collapsed="false">
      <c r="B36" s="129" t="s">
        <v>872</v>
      </c>
      <c r="C36" s="130" t="s">
        <v>873</v>
      </c>
      <c r="D36" s="130" t="s">
        <v>874</v>
      </c>
    </row>
    <row r="37" customFormat="false" ht="84" hidden="false" customHeight="true" outlineLevel="0" collapsed="false">
      <c r="B37" s="129" t="s">
        <v>875</v>
      </c>
      <c r="C37" s="130" t="s">
        <v>876</v>
      </c>
      <c r="D37" s="130" t="s">
        <v>877</v>
      </c>
    </row>
    <row r="38" customFormat="false" ht="69.75" hidden="false" customHeight="true" outlineLevel="0" collapsed="false">
      <c r="B38" s="129" t="s">
        <v>878</v>
      </c>
      <c r="C38" s="130" t="s">
        <v>879</v>
      </c>
      <c r="D38" s="130" t="s">
        <v>880</v>
      </c>
    </row>
    <row r="39" customFormat="false" ht="69.75" hidden="false" customHeight="true" outlineLevel="0" collapsed="false">
      <c r="B39" s="129" t="s">
        <v>645</v>
      </c>
      <c r="C39" s="130" t="s">
        <v>881</v>
      </c>
      <c r="D39" s="130" t="s">
        <v>882</v>
      </c>
    </row>
    <row r="40" customFormat="false" ht="84" hidden="false" customHeight="true" outlineLevel="0" collapsed="false">
      <c r="B40" s="129" t="s">
        <v>883</v>
      </c>
      <c r="C40" s="130" t="s">
        <v>884</v>
      </c>
      <c r="D40" s="130" t="s">
        <v>885</v>
      </c>
    </row>
    <row r="41" customFormat="false" ht="69.75" hidden="false" customHeight="true" outlineLevel="0" collapsed="false">
      <c r="B41" s="129" t="s">
        <v>883</v>
      </c>
      <c r="C41" s="130" t="s">
        <v>886</v>
      </c>
      <c r="D41" s="130" t="s">
        <v>887</v>
      </c>
    </row>
    <row r="42" customFormat="false" ht="84" hidden="false" customHeight="true" outlineLevel="0" collapsed="false">
      <c r="B42" s="129" t="s">
        <v>888</v>
      </c>
      <c r="C42" s="130" t="s">
        <v>889</v>
      </c>
      <c r="D42" s="130" t="s">
        <v>890</v>
      </c>
    </row>
    <row r="43" customFormat="false" ht="69.75" hidden="false" customHeight="true" outlineLevel="0" collapsed="false">
      <c r="B43" s="129" t="s">
        <v>891</v>
      </c>
      <c r="C43" s="130" t="s">
        <v>892</v>
      </c>
      <c r="D43" s="130" t="s">
        <v>893</v>
      </c>
    </row>
    <row r="44" customFormat="false" ht="84" hidden="false" customHeight="true" outlineLevel="0" collapsed="false">
      <c r="B44" s="129" t="s">
        <v>894</v>
      </c>
      <c r="C44" s="130" t="s">
        <v>895</v>
      </c>
      <c r="D44" s="130" t="s">
        <v>896</v>
      </c>
    </row>
    <row r="45" customFormat="false" ht="84" hidden="false" customHeight="true" outlineLevel="0" collapsed="false">
      <c r="B45" s="129" t="s">
        <v>897</v>
      </c>
      <c r="C45" s="130" t="s">
        <v>898</v>
      </c>
      <c r="D45" s="130" t="s">
        <v>899</v>
      </c>
    </row>
    <row r="47" customFormat="false" ht="15" hidden="false" customHeight="true" outlineLevel="0" collapsed="false">
      <c r="B47" s="6" t="s">
        <v>900</v>
      </c>
      <c r="C47" s="113"/>
      <c r="D47" s="113"/>
    </row>
    <row r="48" customFormat="false" ht="30" hidden="false" customHeight="true" outlineLevel="0" collapsed="false">
      <c r="B48" s="120" t="s">
        <v>901</v>
      </c>
      <c r="C48" s="120"/>
      <c r="D48" s="120"/>
    </row>
    <row r="49" customFormat="false" ht="30" hidden="false" customHeight="true" outlineLevel="0" collapsed="false">
      <c r="B49" s="120" t="s">
        <v>902</v>
      </c>
      <c r="C49" s="120"/>
      <c r="D49" s="120"/>
    </row>
    <row r="50" customFormat="false" ht="30" hidden="false" customHeight="true" outlineLevel="0" collapsed="false">
      <c r="B50" s="120" t="s">
        <v>903</v>
      </c>
      <c r="C50" s="120"/>
      <c r="D50" s="120"/>
    </row>
    <row r="51" customFormat="false" ht="30" hidden="false" customHeight="true" outlineLevel="0" collapsed="false">
      <c r="B51" s="120" t="s">
        <v>904</v>
      </c>
      <c r="C51" s="120"/>
      <c r="D51" s="120"/>
    </row>
    <row r="52" customFormat="false" ht="30" hidden="false" customHeight="true" outlineLevel="0" collapsed="false">
      <c r="B52" s="120" t="s">
        <v>905</v>
      </c>
      <c r="C52" s="120"/>
      <c r="D52" s="120"/>
    </row>
    <row r="53" customFormat="false" ht="30" hidden="false" customHeight="true" outlineLevel="0" collapsed="false">
      <c r="B53" s="120" t="s">
        <v>906</v>
      </c>
      <c r="C53" s="120"/>
      <c r="D53" s="120"/>
    </row>
    <row r="54" customFormat="false" ht="30" hidden="false" customHeight="true" outlineLevel="0" collapsed="false">
      <c r="B54" s="120" t="s">
        <v>907</v>
      </c>
      <c r="C54" s="120"/>
      <c r="D54" s="120"/>
    </row>
  </sheetData>
  <mergeCells count="8">
    <mergeCell ref="B5:D5"/>
    <mergeCell ref="B48:D48"/>
    <mergeCell ref="B49:D49"/>
    <mergeCell ref="B50:D50"/>
    <mergeCell ref="B51:D51"/>
    <mergeCell ref="B52:D52"/>
    <mergeCell ref="B53:D53"/>
    <mergeCell ref="B54:D5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2026-10-04T04:52:46Z</dcterms:created>
  <dc:creator>openpyxl</dc:creator>
  <dc:description/>
  <dc:language>en-US</dc:language>
  <cp:lastModifiedBy/>
  <dcterms:modified xsi:type="dcterms:W3CDTF">2026-10-06T03:25:36Z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